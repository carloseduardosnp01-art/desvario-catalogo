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rtas" sheetId="1" state="visible" r:id="rId1"/>
    <sheet name="Decks" sheetId="2" state="visible" r:id="rId2"/>
    <sheet name="História e guia de arte" sheetId="3" state="visible" r:id="rId3"/>
    <sheet name="Regras" sheetId="4" state="visible" r:id="rId4"/>
  </sheets>
  <definedNames>
    <definedName name="_xlnm._FilterDatabase" localSheetId="0" hidden="1">'Cartas'!$A$4:$T$37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3B2A5A"/>
      <sz val="14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FF3B2A5A"/>
      <sz val="12"/>
    </font>
    <font>
      <name val="Arial"/>
      <color rgb="FF008000"/>
      <sz val="10"/>
    </font>
    <font>
      <name val="Arial"/>
      <b val="1"/>
      <color rgb="FF3B2A5A"/>
      <sz val="16"/>
    </font>
    <font>
      <name val="Arial"/>
      <b val="1"/>
      <color rgb="FFFFFFFF"/>
      <sz val="12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3B2A5A"/>
      </patternFill>
    </fill>
    <fill>
      <patternFill patternType="solid">
        <fgColor rgb="FFF6E7A6"/>
      </patternFill>
    </fill>
    <fill>
      <patternFill patternType="solid">
        <fgColor rgb="FFFFF59D"/>
      </patternFill>
    </fill>
    <fill>
      <patternFill patternType="solid">
        <fgColor rgb="FFD9D9D9"/>
      </patternFill>
    </fill>
    <fill>
      <patternFill patternType="solid">
        <fgColor rgb="FFF4C28F"/>
      </patternFill>
    </fill>
    <fill>
      <patternFill patternType="solid">
        <fgColor rgb="FFA9D8B8"/>
      </patternFill>
    </fill>
    <fill>
      <patternFill patternType="solid">
        <fgColor rgb="FFE8A9C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0" fontId="10" fillId="2" borderId="0" pivotButton="0" quotePrefix="0" xfId="0"/>
    <xf numFmtId="0" fontId="0" fillId="2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2">
    <dxf>
      <fill>
        <patternFill patternType="solid">
          <fgColor rgb="FFC9E7D3"/>
        </patternFill>
      </fill>
    </dxf>
    <dxf>
      <fill>
        <patternFill patternType="solid">
          <fgColor rgb="FFA9D8B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tabSelected="1" workbookViewId="0">
      <pane xSplit="2" ySplit="4" topLeftCell="R37" activePane="bottomRight" state="frozen"/>
      <selection pane="topRight" activeCell="A1" sqref="A1"/>
      <selection pane="bottomLeft" activeCell="A1" sqref="A1"/>
      <selection pane="bottomRight" activeCell="T37" sqref="T37"/>
    </sheetView>
  </sheetViews>
  <sheetFormatPr baseColWidth="8" defaultRowHeight="14.4"/>
  <cols>
    <col width="10" customWidth="1" style="34" min="1" max="1"/>
    <col width="30" customWidth="1" style="34" min="2" max="2"/>
    <col width="17" customWidth="1" style="34" min="3" max="3"/>
    <col width="20" customWidth="1" style="34" min="4" max="4"/>
    <col width="9" customWidth="1" style="34" min="5" max="5"/>
    <col width="10" customWidth="1" style="34" min="6" max="6"/>
    <col width="15" customWidth="1" style="34" min="7" max="7"/>
    <col width="8" customWidth="1" style="34" min="8" max="9"/>
    <col width="26" customWidth="1" style="34" min="10" max="10"/>
    <col width="9" customWidth="1" style="34" min="11" max="11"/>
    <col width="10" customWidth="1" style="34" min="12" max="12"/>
    <col width="24" customWidth="1" style="34" min="13" max="13"/>
    <col width="48" customWidth="1" style="34" min="14" max="14"/>
    <col width="42" customWidth="1" style="34" min="15" max="15"/>
    <col width="60" customWidth="1" style="34" min="16" max="16"/>
    <col width="38" customWidth="1" style="34" min="17" max="17"/>
    <col width="15" customWidth="1" style="34" min="18" max="18"/>
    <col width="28" customWidth="1" style="34" min="19" max="19"/>
    <col width="90" customWidth="1" style="34" min="20" max="20"/>
  </cols>
  <sheetData>
    <row r="1" ht="17.4" customHeight="1" s="34">
      <c r="A1" s="1" t="inlineStr">
        <is>
          <t>Desvario: O Reino do Avesso · Catálogo de cartas (33)</t>
        </is>
      </c>
    </row>
    <row r="2" ht="28.05" customHeight="1" s="34">
      <c r="A2" s="33" t="inlineStr">
        <is>
          <t>Legenda: a cor da coluna 'Categoria' segue a moldura da carta (amarelo = Normal, laranja = Efeito, verde = Magia, rosa = Armadilha). ★ = prioridade para a Entrega 1. Colunas AMARELAS (Status da arte / Observações) são para você preencher.</t>
        </is>
      </c>
    </row>
    <row r="4" ht="26.4" customHeight="1" s="34">
      <c r="A4" s="2" t="inlineStr">
        <is>
          <t>Código</t>
        </is>
      </c>
      <c r="B4" s="2" t="inlineStr">
        <is>
          <t>Nome</t>
        </is>
      </c>
      <c r="C4" s="2" t="inlineStr">
        <is>
          <t>Categoria</t>
        </is>
      </c>
      <c r="D4" s="2" t="inlineStr">
        <is>
          <t>Subtipo</t>
        </is>
      </c>
      <c r="E4" s="2" t="inlineStr">
        <is>
          <t>Nível (★)</t>
        </is>
      </c>
      <c r="F4" s="2" t="inlineStr">
        <is>
          <t>Atributo</t>
        </is>
      </c>
      <c r="G4" s="2" t="inlineStr">
        <is>
          <t>Tipo de monstro</t>
        </is>
      </c>
      <c r="H4" s="2" t="inlineStr">
        <is>
          <t>ATK</t>
        </is>
      </c>
      <c r="I4" s="2" t="inlineStr">
        <is>
          <t>DEF</t>
        </is>
      </c>
      <c r="J4" s="2" t="inlineStr">
        <is>
          <t>Deck</t>
        </is>
      </c>
      <c r="K4" s="2" t="inlineStr">
        <is>
          <t>Cópias no deck</t>
        </is>
      </c>
      <c r="L4" s="2" t="inlineStr">
        <is>
          <t>Prioridade</t>
        </is>
      </c>
      <c r="M4" s="2" t="inlineStr">
        <is>
          <t>Região</t>
        </is>
      </c>
      <c r="N4" s="2" t="inlineStr">
        <is>
          <t>Efeito</t>
        </is>
      </c>
      <c r="O4" s="2" t="inlineStr">
        <is>
          <t>Texto de história</t>
        </is>
      </c>
      <c r="P4" s="2" t="inlineStr">
        <is>
          <t>Ideia de arte</t>
        </is>
      </c>
      <c r="Q4" s="2" t="inlineStr">
        <is>
          <t>Nome do arquivo da arte</t>
        </is>
      </c>
      <c r="R4" s="2" t="inlineStr">
        <is>
          <t>Status da arte</t>
        </is>
      </c>
      <c r="S4" s="2" t="inlineStr">
        <is>
          <t>Observações</t>
        </is>
      </c>
      <c r="T4" s="2" t="inlineStr">
        <is>
          <t>Prompt pronto (IA)</t>
        </is>
      </c>
    </row>
    <row r="5" ht="75" customHeight="1" s="34">
      <c r="A5" s="3" t="inlineStr">
        <is>
          <t>DSV-001</t>
        </is>
      </c>
      <c r="B5" s="4" t="inlineStr">
        <is>
          <t>Sr. Pontual, o Caracol Cronista</t>
        </is>
      </c>
      <c r="C5" s="5" t="inlineStr">
        <is>
          <t>Monstro Normal</t>
        </is>
      </c>
      <c r="D5" s="6" t="inlineStr">
        <is>
          <t>Normal</t>
        </is>
      </c>
      <c r="E5" s="3" t="n">
        <v>2</v>
      </c>
      <c r="F5" s="3" t="inlineStr">
        <is>
          <t>TEMPO</t>
        </is>
      </c>
      <c r="G5" s="6" t="inlineStr">
        <is>
          <t>Fera</t>
        </is>
      </c>
      <c r="H5" s="3" t="n">
        <v>700</v>
      </c>
      <c r="I5" s="3" t="n">
        <v>1200</v>
      </c>
      <c r="J5" s="6" t="inlineStr">
        <is>
          <t>A · Sonhadores de Desvario</t>
        </is>
      </c>
      <c r="K5" s="3" t="n">
        <v>2</v>
      </c>
      <c r="L5" s="3" t="n"/>
      <c r="M5" s="6" t="inlineStr">
        <is>
          <t>Bosque das Horas Tortas</t>
        </is>
      </c>
      <c r="N5" s="6" t="inlineStr">
        <is>
          <t>—</t>
        </is>
      </c>
      <c r="O5" s="6" t="inlineStr">
        <is>
          <t>Carrega nas costas um relógio que nunca acertou a hora. Ainda assim, chega sempre no momento exato em que ninguém o esperava.</t>
        </is>
      </c>
      <c r="P5" s="6" t="inlineStr">
        <is>
          <t>Caracol gordinho e simpático, de monóculo e cachecol, que carrega um relógio de bolso de latão enorme no lugar da concha. Os ponteiros andam ao contrário. Trilha de musgo com números romanos caídos pelo chão.</t>
        </is>
      </c>
      <c r="Q5" s="6" t="inlineStr">
        <is>
          <t>dsv-001-sr-pontual.webp</t>
        </is>
      </c>
      <c r="R5" s="7" t="inlineStr">
        <is>
          <t>Entregue</t>
        </is>
      </c>
      <c r="S5" s="8" t="n"/>
      <c r="T5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DSV-001, "Sr. Pontual, o Caracol Cronista". Cena: Caracol gordinho e simpático, de monóculo e cachecol, que carrega um relógio de bolso de latão enorme no lugar da concha. Os ponteiros andam ao contrário. Trilha de musgo com números romanos caídos pelo chão.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6" ht="75" customHeight="1" s="34">
      <c r="A6" s="3" t="inlineStr">
        <is>
          <t>DSV-002</t>
        </is>
      </c>
      <c r="B6" s="4" t="inlineStr">
        <is>
          <t>Capitão Botão</t>
        </is>
      </c>
      <c r="C6" s="5" t="inlineStr">
        <is>
          <t>Monstro Normal</t>
        </is>
      </c>
      <c r="D6" s="6" t="inlineStr">
        <is>
          <t>Normal</t>
        </is>
      </c>
      <c r="E6" s="3" t="n">
        <v>4</v>
      </c>
      <c r="F6" s="3" t="inlineStr">
        <is>
          <t>TINTA</t>
        </is>
      </c>
      <c r="G6" s="6" t="inlineStr">
        <is>
          <t>Brinquedo</t>
        </is>
      </c>
      <c r="H6" s="3" t="n">
        <v>1700</v>
      </c>
      <c r="I6" s="3" t="n">
        <v>1300</v>
      </c>
      <c r="J6" s="6" t="inlineStr">
        <is>
          <t>A · Sonhadores de Desvario</t>
        </is>
      </c>
      <c r="K6" s="3" t="n">
        <v>3</v>
      </c>
      <c r="L6" s="3" t="inlineStr">
        <is>
          <t>★</t>
        </is>
      </c>
      <c r="M6" s="6" t="inlineStr">
        <is>
          <t>Jardim de Xadrez Vivo</t>
        </is>
      </c>
      <c r="N6" s="6" t="inlineStr">
        <is>
          <t>—</t>
        </is>
      </c>
      <c r="O6" s="6" t="inlineStr">
        <is>
          <t>Costurado com botões de mil casacos esquecidos. Jurou proteger Desvario até que a última linha se solte.</t>
        </is>
      </c>
      <c r="P6" s="6" t="inlineStr">
        <is>
          <t>Soldado de brinquedo feito inteiramente de botões coloridos, costurados com linha vermelha. Agulha de costura como espada e dedal como capacete. Pose heroica sobre um carretel.</t>
        </is>
      </c>
      <c r="Q6" s="6" t="inlineStr">
        <is>
          <t>dsv-002-capitao-botao.webp</t>
        </is>
      </c>
      <c r="R6" s="7" t="inlineStr">
        <is>
          <t>Entregue</t>
        </is>
      </c>
      <c r="S6" s="8" t="n"/>
      <c r="T6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DSV-002, "Capitão Botão". Cena: Soldado de brinquedo feito inteiramente de botões coloridos, costurados com linha vermelha. Agulha de costura como espada e dedal como capacete. Pose heroica sobre um carretel.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7" ht="75" customHeight="1" s="34">
      <c r="A7" s="3" t="inlineStr">
        <is>
          <t>DSV-003</t>
        </is>
      </c>
      <c r="B7" s="4" t="inlineStr">
        <is>
          <t>Margarida Fofoqueira</t>
        </is>
      </c>
      <c r="C7" s="5" t="inlineStr">
        <is>
          <t>Monstro Normal</t>
        </is>
      </c>
      <c r="D7" s="6" t="inlineStr">
        <is>
          <t>Normal</t>
        </is>
      </c>
      <c r="E7" s="3" t="n">
        <v>3</v>
      </c>
      <c r="F7" s="3" t="inlineStr">
        <is>
          <t>FOLHA</t>
        </is>
      </c>
      <c r="G7" s="6" t="inlineStr">
        <is>
          <t>Planta</t>
        </is>
      </c>
      <c r="H7" s="3" t="n">
        <v>1200</v>
      </c>
      <c r="I7" s="3" t="n">
        <v>1000</v>
      </c>
      <c r="J7" s="6" t="inlineStr">
        <is>
          <t>A · Sonhadores de Desvario</t>
        </is>
      </c>
      <c r="K7" s="3" t="n">
        <v>2</v>
      </c>
      <c r="L7" s="3" t="n"/>
      <c r="M7" s="6" t="inlineStr">
        <is>
          <t>Jardim de Xadrez Vivo</t>
        </is>
      </c>
      <c r="N7" s="6" t="inlineStr">
        <is>
          <t>—</t>
        </is>
      </c>
      <c r="O7" s="6" t="inlineStr">
        <is>
          <t>Sabe todos os segredos do jardim e conta todos eles, principalmente os que ainda não aconteceram.</t>
        </is>
      </c>
      <c r="P7" s="6" t="inlineStr">
        <is>
          <t>Margarida gigante de rosto expressivo, cochichando com a mão-folha na frente da boca. Flores menores escutam, curiosas. Canteiros em formato de tabuleiro.</t>
        </is>
      </c>
      <c r="Q7" s="6" t="inlineStr">
        <is>
          <t>dsv-003-margarida-fofoqueira.webp</t>
        </is>
      </c>
      <c r="R7" s="7" t="inlineStr">
        <is>
          <t>Entregue</t>
        </is>
      </c>
      <c r="S7" s="8" t="n"/>
      <c r="T7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DSV-003, "Margarida Fofoqueira". Cena: Margarida gigante de rosto expressivo, cochichando com a mão-folha na frente da boca. Flores menores escutam, curiosas. Canteiros em formato de tabuleiro.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8" ht="75" customHeight="1" s="34">
      <c r="A8" s="3" t="inlineStr">
        <is>
          <t>DSV-004</t>
        </is>
      </c>
      <c r="B8" s="4" t="inlineStr">
        <is>
          <t>Dragão Ponteiro</t>
        </is>
      </c>
      <c r="C8" s="5" t="inlineStr">
        <is>
          <t>Monstro Normal</t>
        </is>
      </c>
      <c r="D8" s="6" t="inlineStr">
        <is>
          <t>Normal</t>
        </is>
      </c>
      <c r="E8" s="3" t="n">
        <v>7</v>
      </c>
      <c r="F8" s="3" t="inlineStr">
        <is>
          <t>TEMPO</t>
        </is>
      </c>
      <c r="G8" s="6" t="inlineStr">
        <is>
          <t>Fera</t>
        </is>
      </c>
      <c r="H8" s="3" t="n">
        <v>2500</v>
      </c>
      <c r="I8" s="3" t="n">
        <v>2000</v>
      </c>
      <c r="J8" s="6" t="inlineStr">
        <is>
          <t>A · Sonhadores de Desvario</t>
        </is>
      </c>
      <c r="K8" s="3" t="n">
        <v>2</v>
      </c>
      <c r="L8" s="3" t="inlineStr">
        <is>
          <t>★</t>
        </is>
      </c>
      <c r="M8" s="6" t="inlineStr">
        <is>
          <t>Bosque das Horas Tortas</t>
        </is>
      </c>
      <c r="N8" s="6" t="inlineStr">
        <is>
          <t>—</t>
        </is>
      </c>
      <c r="O8" s="6" t="inlineStr">
        <is>
          <t>Dizem que seu rugido atrasa o dia inteiro em uma hora. Os relojoeiros de Desvario o temem e o adoram.</t>
        </is>
      </c>
      <c r="P8" s="6" t="inlineStr">
        <is>
          <t>Dragão imponente de bronze e engrenagens, com mostrador de relógio no peito e asas formadas por ponteiros. Ampulhetas pendem dos chifres. Céu crepuscular com vários sóis em horários diferentes.</t>
        </is>
      </c>
      <c r="Q8" s="6" t="inlineStr">
        <is>
          <t>dsv-004-dragao-ponteiro.webp</t>
        </is>
      </c>
      <c r="R8" s="7" t="inlineStr">
        <is>
          <t>Entregue</t>
        </is>
      </c>
      <c r="S8" s="8" t="n"/>
      <c r="T8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DSV-004, "Dragão Ponteiro". Cena: Dragão imponente de bronze e engrenagens, com mostrador de relógio no peito e asas formadas por ponteiros. Ampulhetas pendem dos chifres. Céu crepuscular com vários sóis em horários diferentes.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9" ht="75" customHeight="1" s="34">
      <c r="A9" s="3" t="inlineStr">
        <is>
          <t>DSV-005</t>
        </is>
      </c>
      <c r="B9" s="4" t="inlineStr">
        <is>
          <t>Régua Sentinela</t>
        </is>
      </c>
      <c r="C9" s="5" t="inlineStr">
        <is>
          <t>Monstro Normal</t>
        </is>
      </c>
      <c r="D9" s="6" t="inlineStr">
        <is>
          <t>Normal</t>
        </is>
      </c>
      <c r="E9" s="3" t="n">
        <v>4</v>
      </c>
      <c r="F9" s="9" t="inlineStr">
        <is>
          <t>CINZA</t>
        </is>
      </c>
      <c r="G9" s="6" t="inlineStr">
        <is>
          <t>Burocrata</t>
        </is>
      </c>
      <c r="H9" s="3" t="n">
        <v>1800</v>
      </c>
      <c r="I9" s="3" t="n">
        <v>1000</v>
      </c>
      <c r="J9" s="6" t="inlineStr">
        <is>
          <t>B · Ordem Cinzenta</t>
        </is>
      </c>
      <c r="K9" s="3" t="n">
        <v>3</v>
      </c>
      <c r="L9" s="3" t="n"/>
      <c r="M9" s="6" t="inlineStr">
        <is>
          <t>Cidadela Cinzenta</t>
        </is>
      </c>
      <c r="N9" s="6" t="inlineStr">
        <is>
          <t>—</t>
        </is>
      </c>
      <c r="O9" s="6" t="inlineStr">
        <is>
          <t>Mede tudo, aprova nada. Onde passa, as curvas viram linhas retas.</t>
        </is>
      </c>
      <c r="P9" s="6" t="inlineStr">
        <is>
          <t>Soldado alto e magro com o corpo feito de régua de madeira graduada. Olhos são furos de fichário, lança é um lápis apontado. Tudo em cinza; atrás dele, uma paisagem colorida sendo 'endireitada'.</t>
        </is>
      </c>
      <c r="Q9" s="6" t="inlineStr">
        <is>
          <t>dsv-005-regua-sentinela.webp</t>
        </is>
      </c>
      <c r="R9" s="7" t="inlineStr">
        <is>
          <t>Entregue</t>
        </is>
      </c>
      <c r="S9" s="8" t="n"/>
      <c r="T9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DSV-005, "Régua Sentinela". Cena: Soldado alto e magro com o corpo feito de régua de madeira graduada. Olhos são furos de fichário, lança é um lápis apontado. Tudo em cinza; atrás dele, uma paisagem colorida sendo 'endireitada'.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outros textos além da palavra citada entre aspas na cena, escrita corretamente e SEM marca d'água.</t>
        </is>
      </c>
    </row>
    <row r="10" ht="75" customHeight="1" s="34">
      <c r="A10" s="3" t="inlineStr">
        <is>
          <t>DSV-006</t>
        </is>
      </c>
      <c r="B10" s="4" t="inlineStr">
        <is>
          <t>O Sonhador de Tinta</t>
        </is>
      </c>
      <c r="C10" s="10" t="inlineStr">
        <is>
          <t>Monstro de Efeito</t>
        </is>
      </c>
      <c r="D10" s="6" t="inlineStr">
        <is>
          <t>Efeito</t>
        </is>
      </c>
      <c r="E10" s="3" t="n">
        <v>4</v>
      </c>
      <c r="F10" s="3" t="inlineStr">
        <is>
          <t>TINTA</t>
        </is>
      </c>
      <c r="G10" s="6" t="inlineStr">
        <is>
          <t>Sonhador</t>
        </is>
      </c>
      <c r="H10" s="3" t="n">
        <v>1600</v>
      </c>
      <c r="I10" s="3" t="n">
        <v>1400</v>
      </c>
      <c r="J10" s="6" t="inlineStr">
        <is>
          <t>A · Sonhadores de Desvario</t>
        </is>
      </c>
      <c r="K10" s="3" t="n">
        <v>3</v>
      </c>
      <c r="L10" s="3" t="inlineStr">
        <is>
          <t>★</t>
        </is>
      </c>
      <c r="M10" s="6" t="inlineStr">
        <is>
          <t>Nosso mundo</t>
        </is>
      </c>
      <c r="N10" s="6" t="inlineStr">
        <is>
          <t>Se esta carta destruir um monstro do oponente em batalha, você ganha 500 PL.</t>
        </is>
      </c>
      <c r="O10" s="6" t="inlineStr">
        <is>
          <t>Caiu numa poça de tinta e acordou do outro lado. Cada passo que dá devolve uma cor ao mundo.</t>
        </is>
      </c>
      <c r="P10" s="6" t="inlineStr">
        <is>
          <t>Jovem aventureiro de capa longa e surrada, mãos e barra da capa manchadas de tinta roxa e turquesa que escorre e pinta o chão cinza por onde pisa. Segura um pincel como varinha. Fundo metade colorido, metade cinzento.</t>
        </is>
      </c>
      <c r="Q10" s="6" t="inlineStr">
        <is>
          <t>dsv-006-sonhador-de-tinta.webp</t>
        </is>
      </c>
      <c r="R10" s="7" t="inlineStr">
        <is>
          <t>Entregue</t>
        </is>
      </c>
      <c r="S10" s="8" t="n"/>
      <c r="T10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DSV-006, "O Sonhador de Tinta". Cena: Jovem aventureiro de capa longa e surrada, mãos e barra da capa manchadas de tinta roxa e turquesa que escorre e pinta o chão cinza por onde pisa. Segura um pincel como varinha. Fundo metade colorido, metade cinzento.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11" ht="75" customHeight="1" s="34">
      <c r="A11" s="3" t="inlineStr">
        <is>
          <t>DSV-007</t>
        </is>
      </c>
      <c r="B11" s="4" t="inlineStr">
        <is>
          <t>Madame Bule, a Vidente</t>
        </is>
      </c>
      <c r="C11" s="10" t="inlineStr">
        <is>
          <t>Monstro de Efeito</t>
        </is>
      </c>
      <c r="D11" s="6" t="inlineStr">
        <is>
          <t>Efeito</t>
        </is>
      </c>
      <c r="E11" s="3" t="n">
        <v>3</v>
      </c>
      <c r="F11" s="3" t="inlineStr">
        <is>
          <t>CHÁ</t>
        </is>
      </c>
      <c r="G11" s="6" t="inlineStr">
        <is>
          <t>Utensílio</t>
        </is>
      </c>
      <c r="H11" s="3" t="n">
        <v>1000</v>
      </c>
      <c r="I11" s="3" t="n">
        <v>1600</v>
      </c>
      <c r="J11" s="6" t="inlineStr">
        <is>
          <t>A · Sonhadores de Desvario</t>
        </is>
      </c>
      <c r="K11" s="3" t="n">
        <v>3</v>
      </c>
      <c r="L11" s="3" t="inlineStr">
        <is>
          <t>★</t>
        </is>
      </c>
      <c r="M11" s="6" t="inlineStr">
        <is>
          <t>Mar de Chá Morno</t>
        </is>
      </c>
      <c r="N11" s="6" t="inlineStr">
        <is>
          <t>Quando esta carta for Invocada por Invocação-Normal: olhe as 3 cartas do topo do seu Deck e coloque-as de volta na ordem que quiser.</t>
        </is>
      </c>
      <c r="O11" s="6" t="inlineStr">
        <is>
          <t>O chá sabe antes de você. Ela só traduz.</t>
        </is>
      </c>
      <c r="P11" s="6" t="inlineStr">
        <is>
          <t>Chaleira de porcelana antiga com rosto de senhora mística, xale estampado e brincos de colher. O vapor do bico forma cartas e símbolos no ar. Mesa com toalha de renda e bola de cristal de açúcar.</t>
        </is>
      </c>
      <c r="Q11" s="6" t="inlineStr">
        <is>
          <t>dsv-007-madame-bule.webp</t>
        </is>
      </c>
      <c r="R11" s="7" t="inlineStr">
        <is>
          <t>Entregue</t>
        </is>
      </c>
      <c r="S11" s="8" t="n"/>
      <c r="T11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DSV-007, "Madame Bule, a Vidente". Cena: Chaleira de porcelana antiga com rosto de senhora mística, xale estampado e brincos de colher. O vapor do bico forma cartas e símbolos no ar. Mesa com toalha de renda e bola de cristal de açúcar.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12" ht="75" customHeight="1" s="34">
      <c r="A12" s="3" t="inlineStr">
        <is>
          <t>DSV-008</t>
        </is>
      </c>
      <c r="B12" s="4" t="inlineStr">
        <is>
          <t>Coruja Invertida</t>
        </is>
      </c>
      <c r="C12" s="10" t="inlineStr">
        <is>
          <t>Monstro de Efeito</t>
        </is>
      </c>
      <c r="D12" s="6" t="inlineStr">
        <is>
          <t>Efeito</t>
        </is>
      </c>
      <c r="E12" s="3" t="n">
        <v>4</v>
      </c>
      <c r="F12" s="3" t="inlineStr">
        <is>
          <t>ESPELHO</t>
        </is>
      </c>
      <c r="G12" s="6" t="inlineStr">
        <is>
          <t>Fera</t>
        </is>
      </c>
      <c r="H12" s="3" t="n">
        <v>1400</v>
      </c>
      <c r="I12" s="3" t="n">
        <v>1800</v>
      </c>
      <c r="J12" s="6" t="inlineStr">
        <is>
          <t>A · Sonhadores de Desvario</t>
        </is>
      </c>
      <c r="K12" s="3" t="n">
        <v>3</v>
      </c>
      <c r="L12" s="3" t="inlineStr">
        <is>
          <t>★</t>
        </is>
      </c>
      <c r="M12" s="6" t="inlineStr">
        <is>
          <t>Biblioteca de Portas</t>
        </is>
      </c>
      <c r="N12" s="6" t="inlineStr">
        <is>
          <t>Uma vez por turno: escolha 1 monstro com a face para cima no campo; até o fim deste turno, troque o ATK e a DEF originais dele.</t>
        </is>
      </c>
      <c r="O12" s="6" t="inlineStr">
        <is>
          <t>.oãhc o êv amic arp ahlo meuQ (Quem olha pra cima vê o chão.)</t>
        </is>
      </c>
      <c r="P12" s="6" t="inlineStr">
        <is>
          <t>Coruja pendurada de cabeça para baixo num galho, mas seu reflexo no lago abaixo está em pé, olhando para o espectador. Olhos enormes como espelhos. Penas prateadas e azuladas com estrelas refletidas.</t>
        </is>
      </c>
      <c r="Q12" s="6" t="inlineStr">
        <is>
          <t>dsv-008-coruja-invertida.webp</t>
        </is>
      </c>
      <c r="R12" s="7" t="inlineStr">
        <is>
          <t>Entregue</t>
        </is>
      </c>
      <c r="S12" s="8" t="n"/>
      <c r="T12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DSV-008, "Coruja Invertida". Cena: Coruja pendurada de cabeça para baixo num galho, mas seu reflexo no lago abaixo está em pé, olhando para o espectador. Olhos enormes como espelhos. Penas prateadas e azuladas com estrelas refletidas.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13" ht="75" customHeight="1" s="34">
      <c r="A13" s="3" t="inlineStr">
        <is>
          <t>DSV-009</t>
        </is>
      </c>
      <c r="B13" s="4" t="inlineStr">
        <is>
          <t>Xícara Saltitante</t>
        </is>
      </c>
      <c r="C13" s="10" t="inlineStr">
        <is>
          <t>Monstro de Efeito</t>
        </is>
      </c>
      <c r="D13" s="6" t="inlineStr">
        <is>
          <t>Efeito</t>
        </is>
      </c>
      <c r="E13" s="3" t="n">
        <v>1</v>
      </c>
      <c r="F13" s="3" t="inlineStr">
        <is>
          <t>CHÁ</t>
        </is>
      </c>
      <c r="G13" s="6" t="inlineStr">
        <is>
          <t>Utensílio</t>
        </is>
      </c>
      <c r="H13" s="3" t="n">
        <v>300</v>
      </c>
      <c r="I13" s="3" t="n">
        <v>300</v>
      </c>
      <c r="J13" s="6" t="inlineStr">
        <is>
          <t>A · Sonhadores de Desvario</t>
        </is>
      </c>
      <c r="K13" s="3" t="n">
        <v>2</v>
      </c>
      <c r="L13" s="3" t="n"/>
      <c r="M13" s="6" t="inlineStr">
        <is>
          <t>Mar de Chá Morno</t>
        </is>
      </c>
      <c r="N13" s="6" t="inlineStr">
        <is>
          <t>Se esta carta for destruída em batalha e enviada ao Cemitério: compre 1 carta.</t>
        </is>
      </c>
      <c r="O13" s="6" t="inlineStr">
        <is>
          <t>Pula de pires em pires. Quando cai, sempre derrama algo útil.</t>
        </is>
      </c>
      <c r="P13" s="6" t="inlineStr">
        <is>
          <t>Xícara pequena e alegre com perninhas finas, pulando entre pires flutuantes. Gotas de chá dourado formam uma trilha. Fundo creme com papel de parede antigo.</t>
        </is>
      </c>
      <c r="Q13" s="6" t="inlineStr">
        <is>
          <t>dsv-009-xicara-saltitante.webp</t>
        </is>
      </c>
      <c r="R13" s="7" t="inlineStr">
        <is>
          <t>Entregue</t>
        </is>
      </c>
      <c r="S13" s="8" t="n"/>
      <c r="T13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DSV-009, "Xícara Saltitante". Cena: Xícara pequena e alegre com perninhas finas, pulando entre pires flutuantes. Gotas de chá dourado formam uma trilha. Fundo creme com papel de parede antigo.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14" ht="75" customHeight="1" s="34">
      <c r="A14" s="3" t="inlineStr">
        <is>
          <t>DSV-010</t>
        </is>
      </c>
      <c r="B14" s="4" t="inlineStr">
        <is>
          <t>Torre Andarilha do Xadrez Vivo</t>
        </is>
      </c>
      <c r="C14" s="10" t="inlineStr">
        <is>
          <t>Monstro de Efeito</t>
        </is>
      </c>
      <c r="D14" s="6" t="inlineStr">
        <is>
          <t>Efeito</t>
        </is>
      </c>
      <c r="E14" s="3" t="n">
        <v>5</v>
      </c>
      <c r="F14" s="3" t="inlineStr">
        <is>
          <t>FOLHA</t>
        </is>
      </c>
      <c r="G14" s="6" t="inlineStr">
        <is>
          <t>Brinquedo</t>
        </is>
      </c>
      <c r="H14" s="3" t="n">
        <v>2000</v>
      </c>
      <c r="I14" s="3" t="n">
        <v>2200</v>
      </c>
      <c r="J14" s="6" t="inlineStr">
        <is>
          <t>A · Sonhadores de Desvario</t>
        </is>
      </c>
      <c r="K14" s="3" t="n">
        <v>2</v>
      </c>
      <c r="L14" s="3" t="n"/>
      <c r="M14" s="6" t="inlineStr">
        <is>
          <t>Jardim de Xadrez Vivo</t>
        </is>
      </c>
      <c r="N14" s="6" t="inlineStr">
        <is>
          <t>Você pode Invocar esta carta por Invocação-Normal sem Tributo. Se fizer isso, o ATK original dela se torna 1000.</t>
        </is>
      </c>
      <c r="O14" s="6" t="inlineStr">
        <is>
          <t>Nunca anda em linha reta, o que deixa as outras peças do tabuleiro furiosas.</t>
        </is>
      </c>
      <c r="P14" s="6" t="inlineStr">
        <is>
          <t>Torre de xadrez gigante de pedra coberta de hera e flores, andando com pernas de raízes por um jardim quadriculado. Peões-cogumelo fogem do caminho.</t>
        </is>
      </c>
      <c r="Q14" s="6" t="inlineStr">
        <is>
          <t>dsv-010-torre-andarilha-do-xadrez-vivo.webp</t>
        </is>
      </c>
      <c r="R14" s="7" t="inlineStr">
        <is>
          <t>Entregue</t>
        </is>
      </c>
      <c r="S14" s="8" t="n"/>
      <c r="T14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DSV-010, "Torre Andarilha do Xadrez Vivo". Cena: Torre de xadrez gigante de pedra coberta de hera e flores, andando com pernas de raízes por um jardim quadriculado. Peões-cogumelo fogem do caminho.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15" ht="75" customHeight="1" s="34">
      <c r="A15" s="3" t="inlineStr">
        <is>
          <t>DSV-011</t>
        </is>
      </c>
      <c r="B15" s="4" t="inlineStr">
        <is>
          <t>A Fiandeira de Sombras</t>
        </is>
      </c>
      <c r="C15" s="10" t="inlineStr">
        <is>
          <t>Monstro de Efeito</t>
        </is>
      </c>
      <c r="D15" s="6" t="inlineStr">
        <is>
          <t>Efeito</t>
        </is>
      </c>
      <c r="E15" s="3" t="n">
        <v>6</v>
      </c>
      <c r="F15" s="3" t="inlineStr">
        <is>
          <t>ESPELHO</t>
        </is>
      </c>
      <c r="G15" s="6" t="inlineStr">
        <is>
          <t>Sonhador</t>
        </is>
      </c>
      <c r="H15" s="3" t="n">
        <v>2300</v>
      </c>
      <c r="I15" s="3" t="n">
        <v>1800</v>
      </c>
      <c r="J15" s="6" t="inlineStr">
        <is>
          <t>A · Sonhadores de Desvario</t>
        </is>
      </c>
      <c r="K15" s="3" t="n">
        <v>2</v>
      </c>
      <c r="L15" s="3" t="inlineStr">
        <is>
          <t>★</t>
        </is>
      </c>
      <c r="M15" s="6" t="inlineStr">
        <is>
          <t>Biblioteca de Portas</t>
        </is>
      </c>
      <c r="N15" s="6" t="inlineStr">
        <is>
          <t>Quando esta carta for Invocada por Invocação-Tributo: escolha 1 Magia ou Armadilha no campo e destrua-a.</t>
        </is>
      </c>
      <c r="O15" s="6" t="inlineStr">
        <is>
          <t>Tece caminhos que só existem enquanto ninguém olha para eles.</t>
        </is>
      </c>
      <c r="P15" s="6" t="inlineStr">
        <is>
          <t>Figura esguia e elegante de vários braços finos, tecendo fios prateados que viram pontes e escadas no ar. Rosto parcialmente oculto por um véu espelhado. Fundo noturno azul-escuro com constelações costuradas.</t>
        </is>
      </c>
      <c r="Q15" s="6" t="inlineStr">
        <is>
          <t>dsv-011-fiandeira-de-sombras.webp</t>
        </is>
      </c>
      <c r="R15" s="7" t="inlineStr">
        <is>
          <t>Entregue</t>
        </is>
      </c>
      <c r="S15" s="8" t="n"/>
      <c r="T15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DSV-011, "A Fiandeira de Sombras". Cena: Figura esguia e elegante de vários braços finos, tecendo fios prateados que viram pontes e escadas no ar. Rosto parcialmente oculto por um véu espelhado. Fundo noturno azul-escuro com constelações costuradas.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16" ht="75" customHeight="1" s="34">
      <c r="A16" s="3" t="inlineStr">
        <is>
          <t>DSV-012</t>
        </is>
      </c>
      <c r="B16" s="4" t="inlineStr">
        <is>
          <t>Carimbador Cinzento</t>
        </is>
      </c>
      <c r="C16" s="10" t="inlineStr">
        <is>
          <t>Monstro de Efeito</t>
        </is>
      </c>
      <c r="D16" s="6" t="inlineStr">
        <is>
          <t>Efeito (FLIP)</t>
        </is>
      </c>
      <c r="E16" s="3" t="n">
        <v>3</v>
      </c>
      <c r="F16" s="9" t="inlineStr">
        <is>
          <t>CINZA</t>
        </is>
      </c>
      <c r="G16" s="6" t="inlineStr">
        <is>
          <t>Burocrata</t>
        </is>
      </c>
      <c r="H16" s="3" t="n">
        <v>1300</v>
      </c>
      <c r="I16" s="3" t="n">
        <v>900</v>
      </c>
      <c r="J16" s="6" t="inlineStr">
        <is>
          <t>B · Ordem Cinzenta</t>
        </is>
      </c>
      <c r="K16" s="3" t="n">
        <v>2</v>
      </c>
      <c r="L16" s="3" t="inlineStr">
        <is>
          <t>★</t>
        </is>
      </c>
      <c r="M16" s="6" t="inlineStr">
        <is>
          <t>Cidadela Cinzenta</t>
        </is>
      </c>
      <c r="N16" s="6" t="inlineStr">
        <is>
          <t>FLIP: escolha 1 monstro que o oponente controla e destrua-o.</t>
        </is>
      </c>
      <c r="O16" s="6" t="inlineStr">
        <is>
          <t>INDEFERIDO. INDEFERIDO. INDEFERIDO.</t>
        </is>
      </c>
      <c r="P16" s="6" t="inlineStr">
        <is>
          <t>Homenzinho atarracado de terno cinza com um carimbo gigante no lugar da cabeça, carimbando uma flor colorida que vira cinza na hora. Pilhas de papéis. Tudo cinza, exceto a flor.</t>
        </is>
      </c>
      <c r="Q16" s="6" t="inlineStr">
        <is>
          <t>dsv-012-carimbador-cinzento.webp</t>
        </is>
      </c>
      <c r="R16" s="7" t="inlineStr">
        <is>
          <t>Entregue</t>
        </is>
      </c>
      <c r="S16" s="8" t="n"/>
      <c r="T16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DSV-012, "Carimbador Cinzento". Cena: Homenzinho atarracado de terno cinza com um carimbo gigante no lugar da cabeça, carimbando uma flor colorida que vira cinza na hora. Pilhas de papéis. Tudo cinza, exceto a flor.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17" ht="75" customHeight="1" s="34">
      <c r="A17" s="3" t="inlineStr">
        <is>
          <t>DSV-013</t>
        </is>
      </c>
      <c r="B17" s="4" t="inlineStr">
        <is>
          <t>O Arquiteto Cinzento</t>
        </is>
      </c>
      <c r="C17" s="10" t="inlineStr">
        <is>
          <t>Monstro de Efeito</t>
        </is>
      </c>
      <c r="D17" s="6" t="inlineStr">
        <is>
          <t>Efeito</t>
        </is>
      </c>
      <c r="E17" s="3" t="n">
        <v>8</v>
      </c>
      <c r="F17" s="9" t="inlineStr">
        <is>
          <t>CINZA</t>
        </is>
      </c>
      <c r="G17" s="6" t="inlineStr">
        <is>
          <t>Burocrata</t>
        </is>
      </c>
      <c r="H17" s="3" t="n">
        <v>3000</v>
      </c>
      <c r="I17" s="3" t="n">
        <v>2500</v>
      </c>
      <c r="J17" s="6" t="inlineStr">
        <is>
          <t>B · Ordem Cinzenta</t>
        </is>
      </c>
      <c r="K17" s="3" t="n">
        <v>2</v>
      </c>
      <c r="L17" s="3" t="inlineStr">
        <is>
          <t>★</t>
        </is>
      </c>
      <c r="M17" s="6" t="inlineStr">
        <is>
          <t>Cidadela Cinzenta</t>
        </is>
      </c>
      <c r="N17" s="6" t="inlineStr">
        <is>
          <t>Enquanto esta carta estiver com a face para cima no campo, todos os monstros que o oponente controla perdem 500 de ATK.</t>
        </is>
      </c>
      <c r="O17" s="6" t="inlineStr">
        <is>
          <t>Um mundo sem absurdo é um mundo sem erros. E um mundo sem erros é perfeito.</t>
        </is>
      </c>
      <c r="P17" s="6" t="inlineStr">
        <is>
          <t>Figura altíssima e rígida, sobretudo cinza impecável e cartola retangular, rosto liso sem traços. Esquadro e compasso gigantes nas mãos. Atrás dele, a cidade colorida vira uma planta arquitetônica cinza. Só os olhos brilham, brancos.</t>
        </is>
      </c>
      <c r="Q17" s="6" t="inlineStr">
        <is>
          <t>dsv-013-arquiteto-cinzento.webp</t>
        </is>
      </c>
      <c r="R17" s="7" t="inlineStr">
        <is>
          <t>Entregue</t>
        </is>
      </c>
      <c r="S17" s="8" t="n"/>
      <c r="T17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DSV-013, "O Arquiteto Cinzento". Cena: Figura altíssima e rígida, sobretudo cinza impecável e cartola retangular, rosto liso sem traços. Esquadro e compasso gigantes nas mãos. Atrás dele, a cidade colorida vira uma planta arquitetônica cinza. Só os olhos brilham, brancos.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18" ht="75" customHeight="1" s="34">
      <c r="A18" s="3" t="inlineStr">
        <is>
          <t>DSV-014</t>
        </is>
      </c>
      <c r="B18" s="4" t="inlineStr">
        <is>
          <t>Poça de Tinta</t>
        </is>
      </c>
      <c r="C18" s="11" t="inlineStr">
        <is>
          <t>Magia</t>
        </is>
      </c>
      <c r="D18" s="6" t="inlineStr">
        <is>
          <t>Magia Normal</t>
        </is>
      </c>
      <c r="E18" s="3" t="n"/>
      <c r="F18" s="3" t="n"/>
      <c r="G18" s="6" t="n"/>
      <c r="H18" s="3" t="n"/>
      <c r="I18" s="3" t="n"/>
      <c r="J18" s="6" t="inlineStr">
        <is>
          <t>A · Sonhadores de Desvario</t>
        </is>
      </c>
      <c r="K18" s="3" t="n">
        <v>3</v>
      </c>
      <c r="L18" s="3" t="inlineStr">
        <is>
          <t>★</t>
        </is>
      </c>
      <c r="M18" s="6" t="inlineStr">
        <is>
          <t>Nosso mundo</t>
        </is>
      </c>
      <c r="N18" s="6" t="inlineStr">
        <is>
          <t>Adicione 1 monstro de Nível 4 ou menor do seu Deck à sua mão.</t>
        </is>
      </c>
      <c r="O18" s="6" t="n"/>
      <c r="P18" s="6" t="inlineStr">
        <is>
          <t>Poça de tinta roxa e turquesa numa rua comum do nosso mundo, refletindo um céu impossível com luas e bules flutuando. Uma mão está entrando na poça.</t>
        </is>
      </c>
      <c r="Q18" s="6" t="inlineStr">
        <is>
          <t>dsv-014-poca-de-tinta.webp</t>
        </is>
      </c>
      <c r="R18" s="7" t="inlineStr">
        <is>
          <t>Entregue</t>
        </is>
      </c>
      <c r="S18" s="8" t="n"/>
      <c r="T18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DSV-014, "Poça de Tinta". Cena: Poça de tinta roxa e turquesa numa rua comum do nosso mundo, refletindo um céu impossível com luas e bules flutuando. Uma mão está entrando na poça.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19" ht="75" customHeight="1" s="34">
      <c r="A19" s="3" t="inlineStr">
        <is>
          <t>DSV-015</t>
        </is>
      </c>
      <c r="B19" s="4" t="inlineStr">
        <is>
          <t>Bosque das Horas Tortas</t>
        </is>
      </c>
      <c r="C19" s="11" t="inlineStr">
        <is>
          <t>Magia</t>
        </is>
      </c>
      <c r="D19" s="6" t="inlineStr">
        <is>
          <t>Magia de Campo</t>
        </is>
      </c>
      <c r="E19" s="3" t="n"/>
      <c r="F19" s="3" t="n"/>
      <c r="G19" s="6" t="n"/>
      <c r="H19" s="3" t="n"/>
      <c r="I19" s="3" t="n"/>
      <c r="J19" s="6" t="inlineStr">
        <is>
          <t>A · Sonhadores de Desvario</t>
        </is>
      </c>
      <c r="K19" s="3" t="n">
        <v>2</v>
      </c>
      <c r="L19" s="3" t="inlineStr">
        <is>
          <t>★</t>
        </is>
      </c>
      <c r="M19" s="6" t="inlineStr">
        <is>
          <t>Bosque das Horas Tortas</t>
        </is>
      </c>
      <c r="N19" s="6" t="inlineStr">
        <is>
          <t>Todos os monstros TEMPO e FOLHA no campo ganham 300 de ATK e DEF.</t>
        </is>
      </c>
      <c r="O19" s="6" t="n"/>
      <c r="P19" s="6" t="inlineStr">
        <is>
          <t>Floresta de árvores retorcidas cujos troncos são relógios de pêndulo. Galhos terminam em ponteiros, folhas caem em formato de números. Luz dourada de fim de tarde. Sem personagens.</t>
        </is>
      </c>
      <c r="Q19" s="6" t="inlineStr">
        <is>
          <t>dsv-015-bosque-das-horas-tortas.webp</t>
        </is>
      </c>
      <c r="R19" s="7" t="inlineStr">
        <is>
          <t>Entregue</t>
        </is>
      </c>
      <c r="S19" s="8" t="n"/>
      <c r="T19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DSV-015, "Bosque das Horas Tortas". Cena: Floresta de árvores retorcidas cujos troncos são relógios de pêndulo. Galhos terminam em ponteiros, folhas caem em formato de números. Luz dourada de fim de tarde. Sem personagens.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20" ht="75" customHeight="1" s="34">
      <c r="A20" s="3" t="inlineStr">
        <is>
          <t>DSV-016</t>
        </is>
      </c>
      <c r="B20" s="4" t="inlineStr">
        <is>
          <t>Chá Escaldante</t>
        </is>
      </c>
      <c r="C20" s="11" t="inlineStr">
        <is>
          <t>Magia</t>
        </is>
      </c>
      <c r="D20" s="6" t="inlineStr">
        <is>
          <t>Magia Normal</t>
        </is>
      </c>
      <c r="E20" s="3" t="n"/>
      <c r="F20" s="3" t="n"/>
      <c r="G20" s="6" t="n"/>
      <c r="H20" s="3" t="n"/>
      <c r="I20" s="3" t="n"/>
      <c r="J20" s="6" t="inlineStr">
        <is>
          <t>A · Sonhadores de Desvario</t>
        </is>
      </c>
      <c r="K20" s="3" t="n">
        <v>3</v>
      </c>
      <c r="L20" s="3" t="n"/>
      <c r="M20" s="6" t="inlineStr">
        <is>
          <t>Mar de Chá Morno</t>
        </is>
      </c>
      <c r="N20" s="6" t="inlineStr">
        <is>
          <t>Cause 800 de dano ao oponente.</t>
        </is>
      </c>
      <c r="O20" s="6" t="n"/>
      <c r="P20" s="6" t="inlineStr">
        <is>
          <t>Bule inclinado derramando um jato de chá fervente em espiral, muito vapor. Soldados-régua cinzentos fogem ao fundo.</t>
        </is>
      </c>
      <c r="Q20" s="6" t="inlineStr">
        <is>
          <t>dsv-016-cha-escaldante.webp</t>
        </is>
      </c>
      <c r="R20" s="7" t="inlineStr">
        <is>
          <t>Entregue</t>
        </is>
      </c>
      <c r="S20" s="8" t="n"/>
      <c r="T20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DSV-016, "Chá Escaldante". Cena: Bule inclinado derramando um jato de chá fervente em espiral, muito vapor. Soldados-régua cinzentos fogem ao fundo.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21" ht="75" customHeight="1" s="34">
      <c r="A21" s="3" t="inlineStr">
        <is>
          <t>DSV-017</t>
        </is>
      </c>
      <c r="B21" s="4" t="inlineStr">
        <is>
          <t>Guarda-Chuva de Estrelas</t>
        </is>
      </c>
      <c r="C21" s="11" t="inlineStr">
        <is>
          <t>Magia</t>
        </is>
      </c>
      <c r="D21" s="6" t="inlineStr">
        <is>
          <t>Magia de Equipamento</t>
        </is>
      </c>
      <c r="E21" s="3" t="n"/>
      <c r="F21" s="3" t="n"/>
      <c r="G21" s="6" t="n"/>
      <c r="H21" s="3" t="n"/>
      <c r="I21" s="3" t="n"/>
      <c r="J21" s="6" t="inlineStr">
        <is>
          <t>A · Sonhadores de Desvario</t>
        </is>
      </c>
      <c r="K21" s="3" t="n">
        <v>2</v>
      </c>
      <c r="L21" s="3" t="n"/>
      <c r="M21" s="6" t="inlineStr">
        <is>
          <t>Jardim de Xadrez Vivo</t>
        </is>
      </c>
      <c r="N21" s="6" t="inlineStr">
        <is>
          <t>O monstro equipado ganha 600 de ATK.</t>
        </is>
      </c>
      <c r="O21" s="6" t="n"/>
      <c r="P21" s="6" t="inlineStr">
        <is>
          <t>Guarda-chuva aberto e virado para cima, recolhendo estrelas que caem do céu noturno. Cabo de bengala dourada em espiral.</t>
        </is>
      </c>
      <c r="Q21" s="6" t="inlineStr">
        <is>
          <t>dsv-017-guarda-chuva-de-estrelas.webp</t>
        </is>
      </c>
      <c r="R21" s="7" t="inlineStr">
        <is>
          <t>Entregue</t>
        </is>
      </c>
      <c r="S21" s="8" t="n"/>
      <c r="T21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DSV-017, "Guarda-Chuva de Estrelas". Cena: Guarda-chuva aberto e virado para cima, recolhendo estrelas que caem do céu noturno. Cabo de bengala dourada em espiral.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22" ht="75" customHeight="1" s="34">
      <c r="A22" s="3" t="inlineStr">
        <is>
          <t>DSV-018</t>
        </is>
      </c>
      <c r="B22" s="4" t="inlineStr">
        <is>
          <t>A Porta Que Não Estava Lá</t>
        </is>
      </c>
      <c r="C22" s="12" t="inlineStr">
        <is>
          <t>Armadilha</t>
        </is>
      </c>
      <c r="D22" s="6" t="inlineStr">
        <is>
          <t>Armadilha Normal</t>
        </is>
      </c>
      <c r="E22" s="3" t="n"/>
      <c r="F22" s="3" t="n"/>
      <c r="G22" s="6" t="n"/>
      <c r="H22" s="3" t="n"/>
      <c r="I22" s="3" t="n"/>
      <c r="J22" s="6" t="inlineStr">
        <is>
          <t>A · Sonhadores de Desvario</t>
        </is>
      </c>
      <c r="K22" s="3" t="n">
        <v>3</v>
      </c>
      <c r="L22" s="3" t="inlineStr">
        <is>
          <t>★</t>
        </is>
      </c>
      <c r="M22" s="6" t="inlineStr">
        <is>
          <t>Biblioteca de Portas</t>
        </is>
      </c>
      <c r="N22" s="6" t="inlineStr">
        <is>
          <t>Quando um monstro do oponente declarar um ataque: anule o ataque e encerre a Fase de Batalha.</t>
        </is>
      </c>
      <c r="O22" s="6" t="n"/>
      <c r="P22" s="6" t="inlineStr">
        <is>
          <t>Porta de madeira ornamentada, entreaberta, flutuando no meio do nada sem parede. Luz colorida sai pela fresta. Um soldado-régua cinzento dá de cara com ela no meio do ataque.</t>
        </is>
      </c>
      <c r="Q22" s="6" t="inlineStr">
        <is>
          <t>dsv-018-porta-que-nao-estava-la.webp</t>
        </is>
      </c>
      <c r="R22" s="7" t="inlineStr">
        <is>
          <t>Entregue</t>
        </is>
      </c>
      <c r="S22" s="8" t="n"/>
      <c r="T22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DSV-018, "A Porta Que Não Estava Lá". Cena: Porta de madeira ornamentada, entreaberta, flutuando no meio do nada sem parede. Luz colorida sai pela fresta. Um soldado-régua cinzento dá de cara com ela no meio do ataque.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23" ht="75" customHeight="1" s="34">
      <c r="A23" s="3" t="inlineStr">
        <is>
          <t>DSV-019</t>
        </is>
      </c>
      <c r="B23" s="4" t="inlineStr">
        <is>
          <t>Espelho do Avesso</t>
        </is>
      </c>
      <c r="C23" s="12" t="inlineStr">
        <is>
          <t>Armadilha</t>
        </is>
      </c>
      <c r="D23" s="6" t="inlineStr">
        <is>
          <t>Armadilha Normal</t>
        </is>
      </c>
      <c r="E23" s="3" t="n"/>
      <c r="F23" s="3" t="n"/>
      <c r="G23" s="6" t="n"/>
      <c r="H23" s="3" t="n"/>
      <c r="I23" s="3" t="n"/>
      <c r="J23" s="6" t="inlineStr">
        <is>
          <t>A · Sonhadores de Desvario</t>
        </is>
      </c>
      <c r="K23" s="3" t="n">
        <v>3</v>
      </c>
      <c r="L23" s="3" t="inlineStr">
        <is>
          <t>★</t>
        </is>
      </c>
      <c r="M23" s="6" t="inlineStr">
        <is>
          <t>Biblioteca de Portas</t>
        </is>
      </c>
      <c r="N23" s="6" t="inlineStr">
        <is>
          <t>Quando um monstro do oponente declarar um ataque: destrua o monstro atacante.</t>
        </is>
      </c>
      <c r="O23" s="6" t="n"/>
      <c r="P23" s="6" t="inlineStr">
        <is>
          <t>Espelho alto de moldura rococó; o reflexo mostra o atacante de cabeça para baixo se desfazendo em cacos. Rachaduras finas brilhando em azul-prateado.</t>
        </is>
      </c>
      <c r="Q23" s="6" t="inlineStr">
        <is>
          <t>dsv-019-espelho-do-avesso.webp</t>
        </is>
      </c>
      <c r="R23" s="7" t="inlineStr">
        <is>
          <t>Entregue</t>
        </is>
      </c>
      <c r="S23" s="8" t="n"/>
      <c r="T23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DSV-019, "Espelho do Avesso". Cena: Espelho alto de moldura rococó; o reflexo mostra o atacante de cabeça para baixo se desfazendo em cacos. Rachaduras finas brilhando em azul-prateado. Paleta: cores quentes, vivas e saturadas; formas curvas e orgânicas.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24" ht="75" customHeight="1" s="34">
      <c r="A24" s="3" t="inlineStr">
        <is>
          <t>DSV-020</t>
        </is>
      </c>
      <c r="B24" s="4" t="inlineStr">
        <is>
          <t>Carimbo de Indeferido</t>
        </is>
      </c>
      <c r="C24" s="12" t="inlineStr">
        <is>
          <t>Armadilha</t>
        </is>
      </c>
      <c r="D24" s="6" t="inlineStr">
        <is>
          <t>Armadilha de Resposta</t>
        </is>
      </c>
      <c r="E24" s="3" t="n"/>
      <c r="F24" s="3" t="n"/>
      <c r="G24" s="6" t="n"/>
      <c r="H24" s="3" t="n"/>
      <c r="I24" s="3" t="n"/>
      <c r="J24" s="6" t="inlineStr">
        <is>
          <t>B · Ordem Cinzenta</t>
        </is>
      </c>
      <c r="K24" s="3" t="n">
        <v>2</v>
      </c>
      <c r="L24" s="3" t="n"/>
      <c r="M24" s="6" t="inlineStr">
        <is>
          <t>Cidadela Cinzenta</t>
        </is>
      </c>
      <c r="N24" s="6" t="inlineStr">
        <is>
          <t>Pague 1000 PL: anule a ativação de uma carta de Magia e destrua-a.</t>
        </is>
      </c>
      <c r="O24" s="6" t="n"/>
      <c r="P24" s="6" t="inlineStr">
        <is>
          <t>Carimbo gigante descendo sobre uma carta mágica brilhante, deixando a marca 'INDEFERIDO' em vermelho, a única cor da cena. O resto é cinza.</t>
        </is>
      </c>
      <c r="Q24" s="6" t="inlineStr">
        <is>
          <t>dsv-020-carimbo-de-indeferido.webp</t>
        </is>
      </c>
      <c r="R24" s="7" t="inlineStr">
        <is>
          <t>Entregue</t>
        </is>
      </c>
      <c r="S24" s="8" t="n"/>
      <c r="T24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DSV-020, "Carimbo de Indeferido". Cena: Carimbo gigante descendo sobre uma carta mágica brilhante, deixando a marca 'INDEFERIDO' em vermelho, a única cor da cena. O resto é cinza.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outros textos além da palavra citada entre aspas na cena, escrita corretamente e SEM marca d'água.</t>
        </is>
      </c>
    </row>
    <row r="25" ht="75" customHeight="1" s="34">
      <c r="A25" s="3" t="inlineStr">
        <is>
          <t>DSV-021</t>
        </is>
      </c>
      <c r="B25" s="4" t="inlineStr">
        <is>
          <t>Esquadro Guardião</t>
        </is>
      </c>
      <c r="C25" s="5" t="inlineStr">
        <is>
          <t>Monstro Normal</t>
        </is>
      </c>
      <c r="D25" s="6" t="inlineStr">
        <is>
          <t>Normal</t>
        </is>
      </c>
      <c r="E25" s="3" t="n">
        <v>4</v>
      </c>
      <c r="F25" s="9" t="inlineStr">
        <is>
          <t>CINZA</t>
        </is>
      </c>
      <c r="G25" s="6" t="inlineStr">
        <is>
          <t>Burocrata</t>
        </is>
      </c>
      <c r="H25" s="3" t="n">
        <v>1200</v>
      </c>
      <c r="I25" s="3" t="n">
        <v>2000</v>
      </c>
      <c r="J25" s="6" t="inlineStr">
        <is>
          <t>B · Ordem Cinzenta</t>
        </is>
      </c>
      <c r="K25" s="3" t="n">
        <v>3</v>
      </c>
      <c r="L25" s="3" t="n"/>
      <c r="M25" s="6" t="inlineStr">
        <is>
          <t>Cidadela Cinzenta</t>
        </is>
      </c>
      <c r="N25" s="6" t="inlineStr">
        <is>
          <t>—</t>
        </is>
      </c>
      <c r="O25" s="6" t="inlineStr">
        <is>
          <t>Noventa graus. Nem um a mais, nem um a menos. Nenhum sonho passa por ele sem estar no ângulo correto.</t>
        </is>
      </c>
      <c r="P25" s="6" t="inlineStr">
        <is>
          <t>Guarda robusto com corpo em forma de esquadro de metal, escudo retangular e pés quadrados cravados no chão, bloqueando um portão cinza.</t>
        </is>
      </c>
      <c r="Q25" s="6" t="inlineStr">
        <is>
          <t>dsv-021-esquadro-guardiao.webp</t>
        </is>
      </c>
      <c r="R25" s="7" t="inlineStr">
        <is>
          <t>Entregue</t>
        </is>
      </c>
      <c r="S25" s="8" t="n"/>
      <c r="T25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DSV-021, "Esquadro Guardião". Cena: Guarda robusto com corpo em forma de esquadro de metal, escudo retangular e pés quadrados cravados no chão, bloqueando um portão cinza.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26" ht="75" customHeight="1" s="34">
      <c r="A26" s="3" t="inlineStr">
        <is>
          <t>DSV-022</t>
        </is>
      </c>
      <c r="B26" s="4" t="inlineStr">
        <is>
          <t>Clipe Espião</t>
        </is>
      </c>
      <c r="C26" s="10" t="inlineStr">
        <is>
          <t>Monstro de Efeito</t>
        </is>
      </c>
      <c r="D26" s="6" t="inlineStr">
        <is>
          <t>Efeito (FLIP)</t>
        </is>
      </c>
      <c r="E26" s="3" t="n">
        <v>1</v>
      </c>
      <c r="F26" s="9" t="inlineStr">
        <is>
          <t>CINZA</t>
        </is>
      </c>
      <c r="G26" s="6" t="inlineStr">
        <is>
          <t>Burocrata</t>
        </is>
      </c>
      <c r="H26" s="3" t="n">
        <v>200</v>
      </c>
      <c r="I26" s="3" t="n">
        <v>300</v>
      </c>
      <c r="J26" s="6" t="inlineStr">
        <is>
          <t>B · Ordem Cinzenta</t>
        </is>
      </c>
      <c r="K26" s="3" t="n">
        <v>2</v>
      </c>
      <c r="L26" s="3" t="n"/>
      <c r="M26" s="6" t="inlineStr">
        <is>
          <t>Cidadela Cinzenta</t>
        </is>
      </c>
      <c r="N26" s="6" t="inlineStr">
        <is>
          <t>FLIP: olhe a mão do oponente.</t>
        </is>
      </c>
      <c r="O26" s="6" t="inlineStr">
        <is>
          <t>Prende-se a qualquer documento, e a qualquer segredo.</t>
        </is>
      </c>
      <c r="P26" s="6" t="inlineStr">
        <is>
          <t>Clipe de papel retorcido em forma de bichinho, com óculos escuros minúsculos, espiando de trás de uma pilha de pastas, lupa na mão.</t>
        </is>
      </c>
      <c r="Q26" s="6" t="inlineStr">
        <is>
          <t>dsv-022-clipe-espiao.webp</t>
        </is>
      </c>
      <c r="R26" s="7" t="inlineStr">
        <is>
          <t>Entregue</t>
        </is>
      </c>
      <c r="S26" s="8" t="n"/>
      <c r="T26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DSV-022, "Clipe Espião". Cena: Clipe de papel retorcido em forma de bichinho, com óculos escuros minúsculos, espiando de trás de uma pilha de pastas, lupa na mão.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27" ht="75" customHeight="1" s="34">
      <c r="A27" s="3" t="inlineStr">
        <is>
          <t>DSV-023</t>
        </is>
      </c>
      <c r="B27" s="4" t="inlineStr">
        <is>
          <t>Secretária de Mil Gavetas</t>
        </is>
      </c>
      <c r="C27" s="10" t="inlineStr">
        <is>
          <t>Monstro de Efeito</t>
        </is>
      </c>
      <c r="D27" s="6" t="inlineStr">
        <is>
          <t>Efeito</t>
        </is>
      </c>
      <c r="E27" s="3" t="n">
        <v>4</v>
      </c>
      <c r="F27" s="9" t="inlineStr">
        <is>
          <t>CINZA</t>
        </is>
      </c>
      <c r="G27" s="6" t="inlineStr">
        <is>
          <t>Burocrata</t>
        </is>
      </c>
      <c r="H27" s="3" t="n">
        <v>1500</v>
      </c>
      <c r="I27" s="3" t="n">
        <v>1500</v>
      </c>
      <c r="J27" s="6" t="inlineStr">
        <is>
          <t>B · Ordem Cinzenta</t>
        </is>
      </c>
      <c r="K27" s="3" t="n">
        <v>3</v>
      </c>
      <c r="L27" s="3" t="n"/>
      <c r="M27" s="6" t="inlineStr">
        <is>
          <t>Cidadela Cinzenta</t>
        </is>
      </c>
      <c r="N27" s="6" t="inlineStr">
        <is>
          <t>Uma vez por turno: você pode descartar 1 carta para comprar 1 carta.</t>
        </is>
      </c>
      <c r="O27" s="6" t="inlineStr">
        <is>
          <t>Tudo está arquivado. Achar é que é o problema.</t>
        </is>
      </c>
      <c r="P27" s="6" t="inlineStr">
        <is>
          <t>Senhora alta e séria cujo corpo é um arquivo de aço com dezenas de gavetas, algumas abertas e cheias de fichas. Coque apertado com lápis espetados, óculos de meia-lua.</t>
        </is>
      </c>
      <c r="Q27" s="6" t="inlineStr">
        <is>
          <t>dsv-023-secretaria-de-mil-gavetas.webp</t>
        </is>
      </c>
      <c r="R27" s="7" t="inlineStr">
        <is>
          <t>Entregue</t>
        </is>
      </c>
      <c r="S27" s="8" t="n"/>
      <c r="T27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DSV-023, "Secretária de Mil Gavetas". Cena: Senhora alta e séria cujo corpo é um arquivo de aço com dezenas de gavetas, algumas abertas e cheias de fichas. Coque apertado com lápis espetados, óculos de meia-lua.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28" ht="75" customHeight="1" s="34">
      <c r="A28" s="3" t="inlineStr">
        <is>
          <t>DSV-024</t>
        </is>
      </c>
      <c r="B28" s="4" t="inlineStr">
        <is>
          <t>Apontador Voraz</t>
        </is>
      </c>
      <c r="C28" s="10" t="inlineStr">
        <is>
          <t>Monstro de Efeito</t>
        </is>
      </c>
      <c r="D28" s="6" t="inlineStr">
        <is>
          <t>Efeito</t>
        </is>
      </c>
      <c r="E28" s="3" t="n">
        <v>3</v>
      </c>
      <c r="F28" s="9" t="inlineStr">
        <is>
          <t>CINZA</t>
        </is>
      </c>
      <c r="G28" s="6" t="inlineStr">
        <is>
          <t>Burocrata</t>
        </is>
      </c>
      <c r="H28" s="3" t="n">
        <v>1400</v>
      </c>
      <c r="I28" s="3" t="n">
        <v>800</v>
      </c>
      <c r="J28" s="6" t="inlineStr">
        <is>
          <t>B · Ordem Cinzenta</t>
        </is>
      </c>
      <c r="K28" s="3" t="n">
        <v>2</v>
      </c>
      <c r="L28" s="3" t="n"/>
      <c r="M28" s="6" t="inlineStr">
        <is>
          <t>Cidadela Cinzenta</t>
        </is>
      </c>
      <c r="N28" s="6" t="inlineStr">
        <is>
          <t>Se esta carta destruir um monstro do oponente em batalha: o oponente descarta 1 carta aleatória da mão.</t>
        </is>
      </c>
      <c r="O28" s="6" t="inlineStr">
        <is>
          <t>Aponta tudo até sobrar só a ponta, e depois nem ela.</t>
        </is>
      </c>
      <c r="P28" s="6" t="inlineStr">
        <is>
          <t>Apontador de metal com boca cheia de dentes de lâmina, mastigando um lápis de cor (único ponto colorido). Aparas de lápis voam ao redor.</t>
        </is>
      </c>
      <c r="Q28" s="6" t="inlineStr">
        <is>
          <t>dsv-024-apontador-voraz.webp</t>
        </is>
      </c>
      <c r="R28" s="7" t="inlineStr">
        <is>
          <t>Entregue</t>
        </is>
      </c>
      <c r="S28" s="8" t="n"/>
      <c r="T28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DSV-024, "Apontador Voraz". Cena: Apontador de metal com boca cheia de dentes de lâmina, mastigando um lápis de cor (único ponto colorido). Aparas de lápis voam ao redor.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29" ht="75" customHeight="1" s="34">
      <c r="A29" s="3" t="inlineStr">
        <is>
          <t>DSV-025</t>
        </is>
      </c>
      <c r="B29" s="4" t="inlineStr">
        <is>
          <t>Compasso Perfurador</t>
        </is>
      </c>
      <c r="C29" s="10" t="inlineStr">
        <is>
          <t>Monstro de Efeito</t>
        </is>
      </c>
      <c r="D29" s="6" t="inlineStr">
        <is>
          <t>Efeito</t>
        </is>
      </c>
      <c r="E29" s="3" t="n">
        <v>4</v>
      </c>
      <c r="F29" s="9" t="inlineStr">
        <is>
          <t>CINZA</t>
        </is>
      </c>
      <c r="G29" s="6" t="inlineStr">
        <is>
          <t>Burocrata</t>
        </is>
      </c>
      <c r="H29" s="3" t="n">
        <v>1600</v>
      </c>
      <c r="I29" s="3" t="n">
        <v>1200</v>
      </c>
      <c r="J29" s="6" t="inlineStr">
        <is>
          <t>B · Ordem Cinzenta</t>
        </is>
      </c>
      <c r="K29" s="3" t="n">
        <v>3</v>
      </c>
      <c r="L29" s="3" t="n"/>
      <c r="M29" s="6" t="inlineStr">
        <is>
          <t>Cidadela Cinzenta</t>
        </is>
      </c>
      <c r="N29" s="6" t="inlineStr">
        <is>
          <t>Se esta carta atacar um monstro em Posição de Defesa cuja DEF seja menor que o ATK desta carta: cause ao oponente dano igual à diferença.</t>
        </is>
      </c>
      <c r="O29" s="6" t="inlineStr">
        <is>
          <t>Desenha círculos perfeitos. Principalmente em volta dos alvos.</t>
        </is>
      </c>
      <c r="P29" s="6" t="inlineStr">
        <is>
          <t>Guerreiro esguio em forma de compasso: uma perna em ponta afiada cravada no chão, a outra traçando um círculo perfeito em volta de uma flor colorida assustada.</t>
        </is>
      </c>
      <c r="Q29" s="6" t="inlineStr">
        <is>
          <t>dsv-025-compasso-perfurador.webp</t>
        </is>
      </c>
      <c r="R29" s="7" t="inlineStr">
        <is>
          <t>Entregue</t>
        </is>
      </c>
      <c r="S29" s="8" t="n"/>
      <c r="T29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DSV-025, "Compasso Perfurador". Cena: Guerreiro esguio em forma de compasso: uma perna em ponta afiada cravada no chão, a outra traçando um círculo perfeito em volta de uma flor colorida assustada.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30" ht="75" customHeight="1" s="34">
      <c r="A30" s="3" t="inlineStr">
        <is>
          <t>DSV-026</t>
        </is>
      </c>
      <c r="B30" s="4" t="inlineStr">
        <is>
          <t>Borracha Apagadora</t>
        </is>
      </c>
      <c r="C30" s="10" t="inlineStr">
        <is>
          <t>Monstro de Efeito</t>
        </is>
      </c>
      <c r="D30" s="6" t="inlineStr">
        <is>
          <t>Efeito</t>
        </is>
      </c>
      <c r="E30" s="3" t="n">
        <v>5</v>
      </c>
      <c r="F30" s="9" t="inlineStr">
        <is>
          <t>CINZA</t>
        </is>
      </c>
      <c r="G30" s="6" t="inlineStr">
        <is>
          <t>Burocrata</t>
        </is>
      </c>
      <c r="H30" s="3" t="n">
        <v>2100</v>
      </c>
      <c r="I30" s="3" t="n">
        <v>1600</v>
      </c>
      <c r="J30" s="6" t="inlineStr">
        <is>
          <t>B · Ordem Cinzenta</t>
        </is>
      </c>
      <c r="K30" s="3" t="n">
        <v>2</v>
      </c>
      <c r="L30" s="3" t="n"/>
      <c r="M30" s="6" t="inlineStr">
        <is>
          <t>Cidadela Cinzenta</t>
        </is>
      </c>
      <c r="N30" s="6" t="inlineStr">
        <is>
          <t>Quando esta carta for Invocada por Invocação-Tributo: destrua 1 monstro com a face para cima que o oponente controla e que tenha 1500 ou menos de ATK.</t>
        </is>
      </c>
      <c r="O30" s="6" t="inlineStr">
        <is>
          <t>Onde ela passa, nem o rascunho sobrevive.</t>
        </is>
      </c>
      <c r="P30" s="6" t="inlineStr">
        <is>
          <t>Criatura massiva de borracha escolar, metade branca metade cinza, rolando sobre uma paisagem colorida e deixando um rastro branco e vazio, com farelos de borracha.</t>
        </is>
      </c>
      <c r="Q30" s="6" t="inlineStr">
        <is>
          <t>dsv-026-borracha-apagadora.webp</t>
        </is>
      </c>
      <c r="R30" s="7" t="inlineStr">
        <is>
          <t>Entregue</t>
        </is>
      </c>
      <c r="S30" s="8" t="n"/>
      <c r="T30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DSV-026, "Borracha Apagadora". Cena: Criatura massiva de borracha escolar, metade branca metade cinza, rolando sobre uma paisagem colorida e deixando um rastro branco e vazio, com farelos de borracha.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31" ht="75" customHeight="1" s="34">
      <c r="A31" s="3" t="inlineStr">
        <is>
          <t>DSV-027</t>
        </is>
      </c>
      <c r="B31" s="4" t="inlineStr">
        <is>
          <t>Grampeador Colossal</t>
        </is>
      </c>
      <c r="C31" s="5" t="inlineStr">
        <is>
          <t>Monstro Normal</t>
        </is>
      </c>
      <c r="D31" s="6" t="inlineStr">
        <is>
          <t>Normal</t>
        </is>
      </c>
      <c r="E31" s="3" t="n">
        <v>7</v>
      </c>
      <c r="F31" s="9" t="inlineStr">
        <is>
          <t>CINZA</t>
        </is>
      </c>
      <c r="G31" s="6" t="inlineStr">
        <is>
          <t>Burocrata</t>
        </is>
      </c>
      <c r="H31" s="3" t="n">
        <v>2600</v>
      </c>
      <c r="I31" s="3" t="n">
        <v>1800</v>
      </c>
      <c r="J31" s="6" t="inlineStr">
        <is>
          <t>B · Ordem Cinzenta</t>
        </is>
      </c>
      <c r="K31" s="3" t="n">
        <v>2</v>
      </c>
      <c r="L31" s="3" t="n"/>
      <c r="M31" s="6" t="inlineStr">
        <is>
          <t>Cidadela Cinzenta</t>
        </is>
      </c>
      <c r="N31" s="6" t="inlineStr">
        <is>
          <t>—</t>
        </is>
      </c>
      <c r="O31" s="6" t="inlineStr">
        <is>
          <t>Prende o céu ao chão para que nada mais flutue sem autorização.</t>
        </is>
      </c>
      <c r="P31" s="6" t="inlineStr">
        <is>
          <t>Grampeador de metal do tamanho de um prédio, boca aberta como mandíbula, grampeando nuvens coloridas ao chão. Soldados-régua pequenos o acompanham.</t>
        </is>
      </c>
      <c r="Q31" s="6" t="inlineStr">
        <is>
          <t>dsv-027-grampeador-colossal.webp</t>
        </is>
      </c>
      <c r="R31" s="7" t="inlineStr">
        <is>
          <t>Entregue</t>
        </is>
      </c>
      <c r="S31" s="8" t="n"/>
      <c r="T31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DSV-027, "Grampeador Colossal". Cena: Grampeador de metal do tamanho de um prédio, boca aberta como mandíbula, grampeando nuvens coloridas ao chão. Soldados-régua pequenos o acompanham.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32" ht="75" customHeight="1" s="34">
      <c r="A32" s="3" t="inlineStr">
        <is>
          <t>DSV-028</t>
        </is>
      </c>
      <c r="B32" s="4" t="inlineStr">
        <is>
          <t>Formulário em Três Vias</t>
        </is>
      </c>
      <c r="C32" s="11" t="inlineStr">
        <is>
          <t>Magia</t>
        </is>
      </c>
      <c r="D32" s="6" t="inlineStr">
        <is>
          <t>Magia Normal</t>
        </is>
      </c>
      <c r="E32" s="3" t="n"/>
      <c r="F32" s="3" t="n"/>
      <c r="G32" s="6" t="n"/>
      <c r="H32" s="3" t="n"/>
      <c r="I32" s="3" t="n"/>
      <c r="J32" s="6" t="inlineStr">
        <is>
          <t>B · Ordem Cinzenta</t>
        </is>
      </c>
      <c r="K32" s="3" t="n">
        <v>3</v>
      </c>
      <c r="L32" s="3" t="n"/>
      <c r="M32" s="6" t="inlineStr">
        <is>
          <t>Cidadela Cinzenta</t>
        </is>
      </c>
      <c r="N32" s="6" t="inlineStr">
        <is>
          <t>Compre 2 cartas e depois descarte 1 carta.</t>
        </is>
      </c>
      <c r="O32" s="6" t="n"/>
      <c r="P32" s="6" t="inlineStr">
        <is>
          <t>Três folhas de formulário idênticas sobrepostas e flutuando, cheias de campos e caixinhas, com um carimbo pairando sobre elas. Ao fundo, uma fila infinita de pessoas cinzentas.</t>
        </is>
      </c>
      <c r="Q32" s="6" t="inlineStr">
        <is>
          <t>dsv-028-formulario-em-tres-vias.webp</t>
        </is>
      </c>
      <c r="R32" s="7" t="inlineStr">
        <is>
          <t>Entregue</t>
        </is>
      </c>
      <c r="S32" s="8" t="n"/>
      <c r="T32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DSV-028, "Formulário em Três Vias". Cena: Três folhas de formulário idênticas sobrepostas e flutuando, cheias de campos e caixinhas, com um carimbo pairando sobre elas. Ao fundo, uma fila infinita de pessoas cinzentas.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33" ht="75" customHeight="1" s="34">
      <c r="A33" s="3" t="inlineStr">
        <is>
          <t>DSV-029</t>
        </is>
      </c>
      <c r="B33" s="4" t="inlineStr">
        <is>
          <t>Cidadela Cinzenta</t>
        </is>
      </c>
      <c r="C33" s="11" t="inlineStr">
        <is>
          <t>Magia</t>
        </is>
      </c>
      <c r="D33" s="6" t="inlineStr">
        <is>
          <t>Magia de Campo</t>
        </is>
      </c>
      <c r="E33" s="3" t="n"/>
      <c r="F33" s="3" t="n"/>
      <c r="G33" s="6" t="n"/>
      <c r="H33" s="3" t="n"/>
      <c r="I33" s="3" t="n"/>
      <c r="J33" s="6" t="inlineStr">
        <is>
          <t>B · Ordem Cinzenta</t>
        </is>
      </c>
      <c r="K33" s="3" t="n">
        <v>2</v>
      </c>
      <c r="L33" s="3" t="n"/>
      <c r="M33" s="6" t="inlineStr">
        <is>
          <t>Cidadela Cinzenta</t>
        </is>
      </c>
      <c r="N33" s="6" t="inlineStr">
        <is>
          <t>Todos os monstros CINZA no campo ganham 300 de ATK e DEF. Todos os monstros que não são CINZA perdem 200 de ATK.</t>
        </is>
      </c>
      <c r="O33" s="6" t="n"/>
      <c r="P33" s="6" t="inlineStr">
        <is>
          <t>Cidade monumental de prédios idênticos, retos e cinzentos, numa grade perfeita sob um céu sem nuvens, com uma torre-régua altíssima no centro. Nenhuma cor, sem personagens.</t>
        </is>
      </c>
      <c r="Q33" s="6" t="inlineStr">
        <is>
          <t>dsv-029-cidadela-cinzenta.webp</t>
        </is>
      </c>
      <c r="R33" s="7" t="inlineStr">
        <is>
          <t>Entregue</t>
        </is>
      </c>
      <c r="S33" s="8" t="n"/>
      <c r="T33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DSV-029, "Cidadela Cinzenta". Cena: Cidade monumental de prédios idênticos, retos e cinzentos, numa grade perfeita sob um céu sem nuvens, com uma torre-régua altíssima no centro. Nenhuma cor, sem personagens.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34" ht="75" customHeight="1" s="34">
      <c r="A34" s="3" t="inlineStr">
        <is>
          <t>DSV-030</t>
        </is>
      </c>
      <c r="B34" s="4" t="inlineStr">
        <is>
          <t>Linha Reta</t>
        </is>
      </c>
      <c r="C34" s="11" t="inlineStr">
        <is>
          <t>Magia</t>
        </is>
      </c>
      <c r="D34" s="6" t="inlineStr">
        <is>
          <t>Magia de Equipamento</t>
        </is>
      </c>
      <c r="E34" s="3" t="n"/>
      <c r="F34" s="3" t="n"/>
      <c r="G34" s="6" t="n"/>
      <c r="H34" s="3" t="n"/>
      <c r="I34" s="3" t="n"/>
      <c r="J34" s="6" t="inlineStr">
        <is>
          <t>B · Ordem Cinzenta</t>
        </is>
      </c>
      <c r="K34" s="3" t="n">
        <v>2</v>
      </c>
      <c r="L34" s="3" t="n"/>
      <c r="M34" s="6" t="inlineStr">
        <is>
          <t>Cidadela Cinzenta</t>
        </is>
      </c>
      <c r="N34" s="6" t="inlineStr">
        <is>
          <t>Só pode ser equipada em um monstro CINZA. O monstro equipado ganha 700 de ATK.</t>
        </is>
      </c>
      <c r="O34" s="6" t="n"/>
      <c r="P34" s="6" t="inlineStr">
        <is>
          <t>Linha reta perfeita em grafite cortando a imagem de ponta a ponta, 'endireitando' um rio sinuoso, uma árvore torta e um arco-íris no caminho.</t>
        </is>
      </c>
      <c r="Q34" s="6" t="inlineStr">
        <is>
          <t>dsv-030-linha-reta.webp</t>
        </is>
      </c>
      <c r="R34" s="7" t="inlineStr">
        <is>
          <t>Entregue</t>
        </is>
      </c>
      <c r="S34" s="8" t="n"/>
      <c r="T34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DSV-030, "Linha Reta". Cena: Linha reta perfeita em grafite cortando a imagem de ponta a ponta, 'endireitando' um rio sinuoso, uma árvore torta e um arco-íris no caminho.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outros textos além da palavra citada entre aspas na cena, escrita corretamente e SEM marca d'água.</t>
        </is>
      </c>
    </row>
    <row r="35" ht="75" customHeight="1" s="34">
      <c r="A35" s="3" t="inlineStr">
        <is>
          <t>DSV-031</t>
        </is>
      </c>
      <c r="B35" s="4" t="inlineStr">
        <is>
          <t>Decreto do Recolher</t>
        </is>
      </c>
      <c r="C35" s="11" t="inlineStr">
        <is>
          <t>Magia</t>
        </is>
      </c>
      <c r="D35" s="6" t="inlineStr">
        <is>
          <t>Magia Contínua</t>
        </is>
      </c>
      <c r="E35" s="3" t="n"/>
      <c r="F35" s="3" t="n"/>
      <c r="G35" s="6" t="n"/>
      <c r="H35" s="3" t="n"/>
      <c r="I35" s="3" t="n"/>
      <c r="J35" s="6" t="inlineStr">
        <is>
          <t>B · Ordem Cinzenta</t>
        </is>
      </c>
      <c r="K35" s="3" t="n">
        <v>2</v>
      </c>
      <c r="L35" s="3" t="n"/>
      <c r="M35" s="6" t="inlineStr">
        <is>
          <t>Cidadela Cinzenta</t>
        </is>
      </c>
      <c r="N35" s="6" t="inlineStr">
        <is>
          <t>Uma vez por turno: escolha 1 monstro com a face para cima que o oponente controla e mude a posição de batalha dele.</t>
        </is>
      </c>
      <c r="O35" s="6" t="n"/>
      <c r="P35" s="6" t="inlineStr">
        <is>
          <t>Pergaminho oficial pregado num muro cinza, letras rígidas e selo de cera. Sombras de criaturas coloridas se encolhem e se escondem.</t>
        </is>
      </c>
      <c r="Q35" s="6" t="inlineStr">
        <is>
          <t>dsv-031-decreto-do-recolher.webp</t>
        </is>
      </c>
      <c r="R35" s="7" t="inlineStr">
        <is>
          <t>Entregue</t>
        </is>
      </c>
      <c r="S35" s="8" t="n"/>
      <c r="T35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DSV-031, "Decreto do Recolher". Cena: Pergaminho oficial pregado num muro cinza, letras rígidas e selo de cera. Sombras de criaturas coloridas se encolhem e se escondem.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36" ht="75" customHeight="1" s="34">
      <c r="A36" s="3" t="inlineStr">
        <is>
          <t>DSV-032</t>
        </is>
      </c>
      <c r="B36" s="4" t="inlineStr">
        <is>
          <t>Fila de Espera</t>
        </is>
      </c>
      <c r="C36" s="12" t="inlineStr">
        <is>
          <t>Armadilha</t>
        </is>
      </c>
      <c r="D36" s="6" t="inlineStr">
        <is>
          <t>Armadilha Contínua</t>
        </is>
      </c>
      <c r="E36" s="3" t="n"/>
      <c r="F36" s="3" t="n"/>
      <c r="G36" s="6" t="n"/>
      <c r="H36" s="3" t="n"/>
      <c r="I36" s="3" t="n"/>
      <c r="J36" s="6" t="inlineStr">
        <is>
          <t>B · Ordem Cinzenta</t>
        </is>
      </c>
      <c r="K36" s="3" t="n">
        <v>2</v>
      </c>
      <c r="L36" s="3" t="n"/>
      <c r="M36" s="6" t="inlineStr">
        <is>
          <t>Cidadela Cinzenta</t>
        </is>
      </c>
      <c r="N36" s="6" t="inlineStr">
        <is>
          <t>Os monstros invocados pelo oponente não podem declarar ataque no turno em que foram invocados.</t>
        </is>
      </c>
      <c r="O36" s="6" t="n"/>
      <c r="P36" s="6" t="inlineStr">
        <is>
          <t>Fila de criaturas coloridas de Desvario, entediadas, esperando diante de um guichê fechado com a placa 'VOLTE AMANHÃ'. Relógio de parede parado.</t>
        </is>
      </c>
      <c r="Q36" s="6" t="inlineStr">
        <is>
          <t>dsv-032-fila-de-espera.webp</t>
        </is>
      </c>
      <c r="R36" s="7" t="inlineStr">
        <is>
          <t>Entregue</t>
        </is>
      </c>
      <c r="S36" s="8" t="n"/>
      <c r="T36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DSV-032, "Fila de Espera". Cena: Fila de criaturas coloridas de Desvario, entediadas, esperando diante de um guichê fechado com a placa 'VOLTE AMANHÃ'. Relógio de parede parado.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outros textos além da palavra citada entre aspas na cena, escrita corretamente e SEM marca d'água.</t>
        </is>
      </c>
    </row>
    <row r="37" ht="75" customHeight="1" s="34">
      <c r="A37" s="3" t="inlineStr">
        <is>
          <t>DSV-033</t>
        </is>
      </c>
      <c r="B37" s="4" t="inlineStr">
        <is>
          <t>Auditoria Surpresa</t>
        </is>
      </c>
      <c r="C37" s="12" t="inlineStr">
        <is>
          <t>Armadilha</t>
        </is>
      </c>
      <c r="D37" s="6" t="inlineStr">
        <is>
          <t>Armadilha Normal</t>
        </is>
      </c>
      <c r="E37" s="3" t="n"/>
      <c r="F37" s="3" t="n"/>
      <c r="G37" s="6" t="n"/>
      <c r="H37" s="3" t="n"/>
      <c r="I37" s="3" t="n"/>
      <c r="J37" s="6" t="inlineStr">
        <is>
          <t>B · Ordem Cinzenta</t>
        </is>
      </c>
      <c r="K37" s="3" t="n">
        <v>3</v>
      </c>
      <c r="L37" s="3" t="n"/>
      <c r="M37" s="6" t="inlineStr">
        <is>
          <t>Cidadela Cinzenta</t>
        </is>
      </c>
      <c r="N37" s="6" t="inlineStr">
        <is>
          <t>Quando o oponente Invocar por Invocação-Normal um monstro com 1500 ou mais de ATK: destrua esse monstro.</t>
        </is>
      </c>
      <c r="O37" s="6" t="n"/>
      <c r="P37" s="6" t="inlineStr">
        <is>
          <t>Alçapão se abrindo no chão sob um monstro colorido, com três auditores cinzentos de prancheta surgindo de baixo, anotando tudo.</t>
        </is>
      </c>
      <c r="Q37" s="6" t="inlineStr">
        <is>
          <t>dsv-033-auditoria-surpresa.webp</t>
        </is>
      </c>
      <c r="R37" s="7" t="inlineStr">
        <is>
          <t>Entregue</t>
        </is>
      </c>
      <c r="S37" s="8" t="n"/>
      <c r="T37" s="32" t="inlineStr">
        <is>
          <t>Crie uma ilustração QUADRADA (1:1) para a arte de uma carta de um jogo de cartas de fantasia chamado Desvario. Estilo: ilustração de livro de contos em aquarela e nanquim, muito detalhada, traço fino, clima caprichoso e surreal, o MESMO estilo da imagem de referência do Sr. Pontual. Carta DSV-033, "Auditoria Surpresa". Cena: Alçapão se abrindo no chão sob um monstro colorido, com três auditores cinzentos de prancheta surgindo de baixo, anotando tudo. Paleta: quase monocromática, em tons de cinza, grafite e nanquim; formas retas, rígidas e geométricas; atmosfera burocrática e opressiva. Se a descrição citar um elemento colorido, ele é a ÚNICA cor da cena. Composição: assunto principal centralizado e inteiro, ocupando cerca de 60% da imagem, com cenário ao fundo e margem livre nas bordas; precisa ser legível em miniatura. IMPORTANTE: apenas a ilustração, SEM moldura, SEM borda, SEM nome da carta, SEM estrelas, SEM ATK/DEF, SEM textos ou letreiros e SEM marca d'água.</t>
        </is>
      </c>
    </row>
    <row r="39">
      <c r="A39" s="13" t="inlineStr">
        <is>
          <t>Resumo</t>
        </is>
      </c>
    </row>
    <row r="40">
      <c r="A40" s="14" t="inlineStr">
        <is>
          <t>Total de cartas</t>
        </is>
      </c>
      <c r="B40" s="15">
        <f>COUNTA($A$5:$A$37)</f>
        <v/>
      </c>
    </row>
    <row r="41">
      <c r="A41" s="14" t="inlineStr">
        <is>
          <t>Monstros Normais</t>
        </is>
      </c>
      <c r="B41" s="15">
        <f>COUNTIF($C$5:$C$37,"Monstro Normal")</f>
        <v/>
      </c>
    </row>
    <row r="42">
      <c r="A42" s="14" t="inlineStr">
        <is>
          <t>Monstros de Efeito</t>
        </is>
      </c>
      <c r="B42" s="15">
        <f>COUNTIF($C$5:$C$37,"Monstro de Efeito")</f>
        <v/>
      </c>
    </row>
    <row r="43">
      <c r="A43" s="14" t="inlineStr">
        <is>
          <t>Magias</t>
        </is>
      </c>
      <c r="B43" s="15">
        <f>COUNTIF($C$5:$C$37,"Magia")</f>
        <v/>
      </c>
    </row>
    <row r="44">
      <c r="A44" s="14" t="inlineStr">
        <is>
          <t>Armadilhas</t>
        </is>
      </c>
      <c r="B44" s="15">
        <f>COUNTIF($C$5:$C$37,"Armadilha")</f>
        <v/>
      </c>
    </row>
    <row r="45">
      <c r="A45" s="14" t="inlineStr">
        <is>
          <t>Prioridade ★ (Entrega 1)</t>
        </is>
      </c>
      <c r="B45" s="15">
        <f>COUNTIF($L$5:$L$37,"★")</f>
        <v/>
      </c>
    </row>
    <row r="46">
      <c r="A46" s="14" t="inlineStr">
        <is>
          <t>Artes prontas/entregues</t>
        </is>
      </c>
      <c r="B46" s="15">
        <f>COUNTIF($R$5:$R$37,"Pronta")+COUNTIF($R$5:$R$37,"Entregue")</f>
        <v/>
      </c>
    </row>
    <row r="47">
      <c r="A47" s="14" t="inlineStr">
        <is>
          <t>Artes faltando</t>
        </is>
      </c>
      <c r="B47" s="15">
        <f>COUNTA($A$5:$A$37)-B46</f>
        <v/>
      </c>
    </row>
  </sheetData>
  <autoFilter ref="A4:T37"/>
  <mergeCells count="1">
    <mergeCell ref="A2:R2"/>
  </mergeCells>
  <conditionalFormatting sqref="R5:R37">
    <cfRule type="expression" priority="1" dxfId="1">
      <formula>$R5="Entregue"</formula>
    </cfRule>
    <cfRule type="expression" priority="2" dxfId="0">
      <formula>$R5="Pronta"</formula>
    </cfRule>
  </conditionalFormatting>
  <dataValidations count="1">
    <dataValidation sqref="R5:R37" showDropDown="0" showInputMessage="0" showErrorMessage="0" allowBlank="1" type="list">
      <formula1>"A fazer,Em andamento,Pronta,Entregue"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4.4"/>
  <cols>
    <col width="12" customWidth="1" style="34" min="1" max="1"/>
    <col width="32" customWidth="1" style="34" min="2" max="2"/>
    <col width="18" customWidth="1" style="34" min="3" max="3"/>
    <col width="22" customWidth="1" style="34" min="4" max="4"/>
    <col width="10" customWidth="1" style="34" min="5" max="5"/>
    <col width="4" customWidth="1" style="34" min="6" max="6"/>
    <col width="12" customWidth="1" style="34" min="7" max="7"/>
    <col width="32" customWidth="1" style="34" min="8" max="8"/>
    <col width="18" customWidth="1" style="34" min="9" max="9"/>
    <col width="22" customWidth="1" style="34" min="10" max="10"/>
    <col width="10" customWidth="1" style="34" min="11" max="11"/>
    <col width="4" customWidth="1" style="34" min="12" max="12"/>
  </cols>
  <sheetData>
    <row r="1" ht="17.4" customHeight="1" s="34">
      <c r="A1" s="1" t="inlineStr">
        <is>
          <t>Decks iniciais: 40 cartas cada (máx. 3 cópias por carta)</t>
        </is>
      </c>
    </row>
    <row r="2">
      <c r="A2" s="16" t="inlineStr">
        <is>
          <t>As quantidades vêm da aba 'Cartas' (coluna 'Cópias no deck'). Altere lá e os totais aqui se atualizam.</t>
        </is>
      </c>
    </row>
    <row r="4" ht="15.6" customHeight="1" s="34">
      <c r="A4" s="17" t="inlineStr">
        <is>
          <t>A · Sonhadores de Desvario</t>
        </is>
      </c>
      <c r="G4" s="17" t="inlineStr">
        <is>
          <t>B · Ordem Cinzenta</t>
        </is>
      </c>
    </row>
    <row r="5">
      <c r="A5" s="2" t="inlineStr">
        <is>
          <t>Código</t>
        </is>
      </c>
      <c r="B5" s="2" t="inlineStr">
        <is>
          <t>Carta</t>
        </is>
      </c>
      <c r="C5" s="2" t="inlineStr">
        <is>
          <t>Categoria</t>
        </is>
      </c>
      <c r="D5" s="2" t="inlineStr">
        <is>
          <t>Subtipo</t>
        </is>
      </c>
      <c r="E5" s="2" t="inlineStr">
        <is>
          <t>Cópias</t>
        </is>
      </c>
      <c r="G5" s="2" t="inlineStr">
        <is>
          <t>Código</t>
        </is>
      </c>
      <c r="H5" s="2" t="inlineStr">
        <is>
          <t>Carta</t>
        </is>
      </c>
      <c r="I5" s="2" t="inlineStr">
        <is>
          <t>Categoria</t>
        </is>
      </c>
      <c r="J5" s="2" t="inlineStr">
        <is>
          <t>Subtipo</t>
        </is>
      </c>
      <c r="K5" s="2" t="inlineStr">
        <is>
          <t>Cópias</t>
        </is>
      </c>
    </row>
    <row r="6">
      <c r="A6" s="18">
        <f>Cartas!A5</f>
        <v/>
      </c>
      <c r="B6" s="19">
        <f>Cartas!B5</f>
        <v/>
      </c>
      <c r="C6" s="20">
        <f>Cartas!C5</f>
        <v/>
      </c>
      <c r="D6" s="19">
        <f>Cartas!D5</f>
        <v/>
      </c>
      <c r="E6" s="18">
        <f>Cartas!K5</f>
        <v/>
      </c>
      <c r="G6" s="18">
        <f>Cartas!A9</f>
        <v/>
      </c>
      <c r="H6" s="19">
        <f>Cartas!B9</f>
        <v/>
      </c>
      <c r="I6" s="20">
        <f>Cartas!C9</f>
        <v/>
      </c>
      <c r="J6" s="19">
        <f>Cartas!D9</f>
        <v/>
      </c>
      <c r="K6" s="18">
        <f>Cartas!K9</f>
        <v/>
      </c>
    </row>
    <row r="7">
      <c r="A7" s="18">
        <f>Cartas!A6</f>
        <v/>
      </c>
      <c r="B7" s="19">
        <f>Cartas!B6</f>
        <v/>
      </c>
      <c r="C7" s="20">
        <f>Cartas!C6</f>
        <v/>
      </c>
      <c r="D7" s="19">
        <f>Cartas!D6</f>
        <v/>
      </c>
      <c r="E7" s="18">
        <f>Cartas!K6</f>
        <v/>
      </c>
      <c r="G7" s="18">
        <f>Cartas!A25</f>
        <v/>
      </c>
      <c r="H7" s="19">
        <f>Cartas!B25</f>
        <v/>
      </c>
      <c r="I7" s="20">
        <f>Cartas!C25</f>
        <v/>
      </c>
      <c r="J7" s="19">
        <f>Cartas!D25</f>
        <v/>
      </c>
      <c r="K7" s="18">
        <f>Cartas!K25</f>
        <v/>
      </c>
    </row>
    <row r="8">
      <c r="A8" s="18">
        <f>Cartas!A7</f>
        <v/>
      </c>
      <c r="B8" s="19">
        <f>Cartas!B7</f>
        <v/>
      </c>
      <c r="C8" s="20">
        <f>Cartas!C7</f>
        <v/>
      </c>
      <c r="D8" s="19">
        <f>Cartas!D7</f>
        <v/>
      </c>
      <c r="E8" s="18">
        <f>Cartas!K7</f>
        <v/>
      </c>
      <c r="G8" s="18">
        <f>Cartas!A31</f>
        <v/>
      </c>
      <c r="H8" s="19">
        <f>Cartas!B31</f>
        <v/>
      </c>
      <c r="I8" s="20">
        <f>Cartas!C31</f>
        <v/>
      </c>
      <c r="J8" s="19">
        <f>Cartas!D31</f>
        <v/>
      </c>
      <c r="K8" s="18">
        <f>Cartas!K31</f>
        <v/>
      </c>
    </row>
    <row r="9">
      <c r="A9" s="18">
        <f>Cartas!A8</f>
        <v/>
      </c>
      <c r="B9" s="19">
        <f>Cartas!B8</f>
        <v/>
      </c>
      <c r="C9" s="20">
        <f>Cartas!C8</f>
        <v/>
      </c>
      <c r="D9" s="19">
        <f>Cartas!D8</f>
        <v/>
      </c>
      <c r="E9" s="18">
        <f>Cartas!K8</f>
        <v/>
      </c>
      <c r="G9" s="18">
        <f>Cartas!A16</f>
        <v/>
      </c>
      <c r="H9" s="19">
        <f>Cartas!B16</f>
        <v/>
      </c>
      <c r="I9" s="21">
        <f>Cartas!C16</f>
        <v/>
      </c>
      <c r="J9" s="19">
        <f>Cartas!D16</f>
        <v/>
      </c>
      <c r="K9" s="18">
        <f>Cartas!K16</f>
        <v/>
      </c>
    </row>
    <row r="10">
      <c r="A10" s="18">
        <f>Cartas!A10</f>
        <v/>
      </c>
      <c r="B10" s="19">
        <f>Cartas!B10</f>
        <v/>
      </c>
      <c r="C10" s="21">
        <f>Cartas!C10</f>
        <v/>
      </c>
      <c r="D10" s="19">
        <f>Cartas!D10</f>
        <v/>
      </c>
      <c r="E10" s="18">
        <f>Cartas!K10</f>
        <v/>
      </c>
      <c r="G10" s="18">
        <f>Cartas!A17</f>
        <v/>
      </c>
      <c r="H10" s="19">
        <f>Cartas!B17</f>
        <v/>
      </c>
      <c r="I10" s="21">
        <f>Cartas!C17</f>
        <v/>
      </c>
      <c r="J10" s="19">
        <f>Cartas!D17</f>
        <v/>
      </c>
      <c r="K10" s="18">
        <f>Cartas!K17</f>
        <v/>
      </c>
    </row>
    <row r="11">
      <c r="A11" s="18">
        <f>Cartas!A11</f>
        <v/>
      </c>
      <c r="B11" s="19">
        <f>Cartas!B11</f>
        <v/>
      </c>
      <c r="C11" s="21">
        <f>Cartas!C11</f>
        <v/>
      </c>
      <c r="D11" s="19">
        <f>Cartas!D11</f>
        <v/>
      </c>
      <c r="E11" s="18">
        <f>Cartas!K11</f>
        <v/>
      </c>
      <c r="G11" s="18">
        <f>Cartas!A26</f>
        <v/>
      </c>
      <c r="H11" s="19">
        <f>Cartas!B26</f>
        <v/>
      </c>
      <c r="I11" s="21">
        <f>Cartas!C26</f>
        <v/>
      </c>
      <c r="J11" s="19">
        <f>Cartas!D26</f>
        <v/>
      </c>
      <c r="K11" s="18">
        <f>Cartas!K26</f>
        <v/>
      </c>
    </row>
    <row r="12">
      <c r="A12" s="18">
        <f>Cartas!A12</f>
        <v/>
      </c>
      <c r="B12" s="19">
        <f>Cartas!B12</f>
        <v/>
      </c>
      <c r="C12" s="21">
        <f>Cartas!C12</f>
        <v/>
      </c>
      <c r="D12" s="19">
        <f>Cartas!D12</f>
        <v/>
      </c>
      <c r="E12" s="18">
        <f>Cartas!K12</f>
        <v/>
      </c>
      <c r="G12" s="18">
        <f>Cartas!A27</f>
        <v/>
      </c>
      <c r="H12" s="19">
        <f>Cartas!B27</f>
        <v/>
      </c>
      <c r="I12" s="21">
        <f>Cartas!C27</f>
        <v/>
      </c>
      <c r="J12" s="19">
        <f>Cartas!D27</f>
        <v/>
      </c>
      <c r="K12" s="18">
        <f>Cartas!K27</f>
        <v/>
      </c>
    </row>
    <row r="13">
      <c r="A13" s="18">
        <f>Cartas!A13</f>
        <v/>
      </c>
      <c r="B13" s="19">
        <f>Cartas!B13</f>
        <v/>
      </c>
      <c r="C13" s="21">
        <f>Cartas!C13</f>
        <v/>
      </c>
      <c r="D13" s="19">
        <f>Cartas!D13</f>
        <v/>
      </c>
      <c r="E13" s="18">
        <f>Cartas!K13</f>
        <v/>
      </c>
      <c r="G13" s="18">
        <f>Cartas!A28</f>
        <v/>
      </c>
      <c r="H13" s="19">
        <f>Cartas!B28</f>
        <v/>
      </c>
      <c r="I13" s="21">
        <f>Cartas!C28</f>
        <v/>
      </c>
      <c r="J13" s="19">
        <f>Cartas!D28</f>
        <v/>
      </c>
      <c r="K13" s="18">
        <f>Cartas!K28</f>
        <v/>
      </c>
    </row>
    <row r="14">
      <c r="A14" s="18">
        <f>Cartas!A14</f>
        <v/>
      </c>
      <c r="B14" s="19">
        <f>Cartas!B14</f>
        <v/>
      </c>
      <c r="C14" s="21">
        <f>Cartas!C14</f>
        <v/>
      </c>
      <c r="D14" s="19">
        <f>Cartas!D14</f>
        <v/>
      </c>
      <c r="E14" s="18">
        <f>Cartas!K14</f>
        <v/>
      </c>
      <c r="G14" s="18">
        <f>Cartas!A29</f>
        <v/>
      </c>
      <c r="H14" s="19">
        <f>Cartas!B29</f>
        <v/>
      </c>
      <c r="I14" s="21">
        <f>Cartas!C29</f>
        <v/>
      </c>
      <c r="J14" s="19">
        <f>Cartas!D29</f>
        <v/>
      </c>
      <c r="K14" s="18">
        <f>Cartas!K29</f>
        <v/>
      </c>
    </row>
    <row r="15">
      <c r="A15" s="18">
        <f>Cartas!A15</f>
        <v/>
      </c>
      <c r="B15" s="19">
        <f>Cartas!B15</f>
        <v/>
      </c>
      <c r="C15" s="21">
        <f>Cartas!C15</f>
        <v/>
      </c>
      <c r="D15" s="19">
        <f>Cartas!D15</f>
        <v/>
      </c>
      <c r="E15" s="18">
        <f>Cartas!K15</f>
        <v/>
      </c>
      <c r="G15" s="18">
        <f>Cartas!A30</f>
        <v/>
      </c>
      <c r="H15" s="19">
        <f>Cartas!B30</f>
        <v/>
      </c>
      <c r="I15" s="21">
        <f>Cartas!C30</f>
        <v/>
      </c>
      <c r="J15" s="19">
        <f>Cartas!D30</f>
        <v/>
      </c>
      <c r="K15" s="18">
        <f>Cartas!K30</f>
        <v/>
      </c>
    </row>
    <row r="16">
      <c r="A16" s="18">
        <f>Cartas!A18</f>
        <v/>
      </c>
      <c r="B16" s="19">
        <f>Cartas!B18</f>
        <v/>
      </c>
      <c r="C16" s="22">
        <f>Cartas!C18</f>
        <v/>
      </c>
      <c r="D16" s="19">
        <f>Cartas!D18</f>
        <v/>
      </c>
      <c r="E16" s="18">
        <f>Cartas!K18</f>
        <v/>
      </c>
      <c r="G16" s="18">
        <f>Cartas!A32</f>
        <v/>
      </c>
      <c r="H16" s="19">
        <f>Cartas!B32</f>
        <v/>
      </c>
      <c r="I16" s="22">
        <f>Cartas!C32</f>
        <v/>
      </c>
      <c r="J16" s="19">
        <f>Cartas!D32</f>
        <v/>
      </c>
      <c r="K16" s="18">
        <f>Cartas!K32</f>
        <v/>
      </c>
    </row>
    <row r="17">
      <c r="A17" s="18">
        <f>Cartas!A19</f>
        <v/>
      </c>
      <c r="B17" s="19">
        <f>Cartas!B19</f>
        <v/>
      </c>
      <c r="C17" s="22">
        <f>Cartas!C19</f>
        <v/>
      </c>
      <c r="D17" s="19">
        <f>Cartas!D19</f>
        <v/>
      </c>
      <c r="E17" s="18">
        <f>Cartas!K19</f>
        <v/>
      </c>
      <c r="G17" s="18">
        <f>Cartas!A33</f>
        <v/>
      </c>
      <c r="H17" s="19">
        <f>Cartas!B33</f>
        <v/>
      </c>
      <c r="I17" s="22">
        <f>Cartas!C33</f>
        <v/>
      </c>
      <c r="J17" s="19">
        <f>Cartas!D33</f>
        <v/>
      </c>
      <c r="K17" s="18">
        <f>Cartas!K33</f>
        <v/>
      </c>
    </row>
    <row r="18">
      <c r="A18" s="18">
        <f>Cartas!A20</f>
        <v/>
      </c>
      <c r="B18" s="19">
        <f>Cartas!B20</f>
        <v/>
      </c>
      <c r="C18" s="22">
        <f>Cartas!C20</f>
        <v/>
      </c>
      <c r="D18" s="19">
        <f>Cartas!D20</f>
        <v/>
      </c>
      <c r="E18" s="18">
        <f>Cartas!K20</f>
        <v/>
      </c>
      <c r="G18" s="18">
        <f>Cartas!A34</f>
        <v/>
      </c>
      <c r="H18" s="19">
        <f>Cartas!B34</f>
        <v/>
      </c>
      <c r="I18" s="22">
        <f>Cartas!C34</f>
        <v/>
      </c>
      <c r="J18" s="19">
        <f>Cartas!D34</f>
        <v/>
      </c>
      <c r="K18" s="18">
        <f>Cartas!K34</f>
        <v/>
      </c>
    </row>
    <row r="19">
      <c r="A19" s="18">
        <f>Cartas!A21</f>
        <v/>
      </c>
      <c r="B19" s="19">
        <f>Cartas!B21</f>
        <v/>
      </c>
      <c r="C19" s="22">
        <f>Cartas!C21</f>
        <v/>
      </c>
      <c r="D19" s="19">
        <f>Cartas!D21</f>
        <v/>
      </c>
      <c r="E19" s="18">
        <f>Cartas!K21</f>
        <v/>
      </c>
      <c r="G19" s="18">
        <f>Cartas!A35</f>
        <v/>
      </c>
      <c r="H19" s="19">
        <f>Cartas!B35</f>
        <v/>
      </c>
      <c r="I19" s="22">
        <f>Cartas!C35</f>
        <v/>
      </c>
      <c r="J19" s="19">
        <f>Cartas!D35</f>
        <v/>
      </c>
      <c r="K19" s="18">
        <f>Cartas!K35</f>
        <v/>
      </c>
    </row>
    <row r="20">
      <c r="A20" s="18">
        <f>Cartas!A22</f>
        <v/>
      </c>
      <c r="B20" s="19">
        <f>Cartas!B22</f>
        <v/>
      </c>
      <c r="C20" s="23">
        <f>Cartas!C22</f>
        <v/>
      </c>
      <c r="D20" s="19">
        <f>Cartas!D22</f>
        <v/>
      </c>
      <c r="E20" s="18">
        <f>Cartas!K22</f>
        <v/>
      </c>
      <c r="G20" s="18">
        <f>Cartas!A24</f>
        <v/>
      </c>
      <c r="H20" s="19">
        <f>Cartas!B24</f>
        <v/>
      </c>
      <c r="I20" s="23">
        <f>Cartas!C24</f>
        <v/>
      </c>
      <c r="J20" s="19">
        <f>Cartas!D24</f>
        <v/>
      </c>
      <c r="K20" s="18">
        <f>Cartas!K24</f>
        <v/>
      </c>
    </row>
    <row r="21">
      <c r="A21" s="18">
        <f>Cartas!A23</f>
        <v/>
      </c>
      <c r="B21" s="19">
        <f>Cartas!B23</f>
        <v/>
      </c>
      <c r="C21" s="23">
        <f>Cartas!C23</f>
        <v/>
      </c>
      <c r="D21" s="19">
        <f>Cartas!D23</f>
        <v/>
      </c>
      <c r="E21" s="18">
        <f>Cartas!K23</f>
        <v/>
      </c>
      <c r="G21" s="18">
        <f>Cartas!A36</f>
        <v/>
      </c>
      <c r="H21" s="19">
        <f>Cartas!B36</f>
        <v/>
      </c>
      <c r="I21" s="23">
        <f>Cartas!C36</f>
        <v/>
      </c>
      <c r="J21" s="19">
        <f>Cartas!D36</f>
        <v/>
      </c>
      <c r="K21" s="18">
        <f>Cartas!K36</f>
        <v/>
      </c>
    </row>
    <row r="22">
      <c r="G22" s="18">
        <f>Cartas!A37</f>
        <v/>
      </c>
      <c r="H22" s="19">
        <f>Cartas!B37</f>
        <v/>
      </c>
      <c r="I22" s="23">
        <f>Cartas!C37</f>
        <v/>
      </c>
      <c r="J22" s="19">
        <f>Cartas!D37</f>
        <v/>
      </c>
      <c r="K22" s="18">
        <f>Cartas!K37</f>
        <v/>
      </c>
    </row>
    <row r="23">
      <c r="D23" s="14" t="inlineStr">
        <is>
          <t>Monstros</t>
        </is>
      </c>
      <c r="E23" s="24">
        <f>SUMIF(C6:C21,"Monstro Normal",E6:E21)+SUMIF(C6:C21,"Monstro de Efeito",E6:E21)</f>
        <v/>
      </c>
    </row>
    <row r="24">
      <c r="D24" s="14" t="inlineStr">
        <is>
          <t>Magias</t>
        </is>
      </c>
      <c r="E24" s="24">
        <f>SUMIF(C6:C21,"Magia",E6:E21)</f>
        <v/>
      </c>
      <c r="J24" s="14" t="inlineStr">
        <is>
          <t>Monstros</t>
        </is>
      </c>
      <c r="K24" s="24">
        <f>SUMIF(I6:I22,"Monstro Normal",K6:K22)+SUMIF(I6:I22,"Monstro de Efeito",K6:K22)</f>
        <v/>
      </c>
    </row>
    <row r="25">
      <c r="D25" s="14" t="inlineStr">
        <is>
          <t>Armadilhas</t>
        </is>
      </c>
      <c r="E25" s="24">
        <f>SUMIF(C6:C21,"Armadilha",E6:E21)</f>
        <v/>
      </c>
      <c r="J25" s="14" t="inlineStr">
        <is>
          <t>Magias</t>
        </is>
      </c>
      <c r="K25" s="24">
        <f>SUMIF(I6:I22,"Magia",K6:K22)</f>
        <v/>
      </c>
    </row>
    <row r="26">
      <c r="D26" s="13" t="inlineStr">
        <is>
          <t>TOTAL</t>
        </is>
      </c>
      <c r="E26" s="25">
        <f>SUM(E6:E21)</f>
        <v/>
      </c>
      <c r="J26" s="14" t="inlineStr">
        <is>
          <t>Armadilhas</t>
        </is>
      </c>
      <c r="K26" s="24">
        <f>SUMIF(I6:I22,"Armadilha",K6:K22)</f>
        <v/>
      </c>
    </row>
    <row r="27">
      <c r="D27" s="14" t="inlineStr">
        <is>
          <t>Deck válido?</t>
        </is>
      </c>
      <c r="E27" s="24">
        <f>IF(AND(E26&gt;=40,E26&lt;=60,MAX(E6:E21)&lt;=3),"SIM","NÃO")</f>
        <v/>
      </c>
      <c r="J27" s="13" t="inlineStr">
        <is>
          <t>TOTAL</t>
        </is>
      </c>
      <c r="K27" s="25">
        <f>SUM(K6:K22)</f>
        <v/>
      </c>
    </row>
    <row r="28">
      <c r="D28" s="14" t="inlineStr">
        <is>
          <t>Cartas diferentes</t>
        </is>
      </c>
      <c r="E28" s="26">
        <f>COUNTA(A6:A21)</f>
        <v/>
      </c>
      <c r="J28" s="14" t="inlineStr">
        <is>
          <t>Deck válido?</t>
        </is>
      </c>
      <c r="K28" s="24">
        <f>IF(AND(K27&gt;=40,K27&lt;=60,MAX(K6:K22)&lt;=3),"SIM","NÃO")</f>
        <v/>
      </c>
    </row>
    <row r="29">
      <c r="J29" s="14" t="inlineStr">
        <is>
          <t>Cartas diferentes</t>
        </is>
      </c>
      <c r="K29" s="26">
        <f>COUNTA(G6:G22)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4.4"/>
  <cols>
    <col width="26" customWidth="1" style="34" min="1" max="1"/>
    <col width="110" customWidth="1" style="34" min="2" max="2"/>
  </cols>
  <sheetData>
    <row r="1" ht="21" customHeight="1" s="34">
      <c r="A1" s="27" t="inlineStr">
        <is>
          <t>Desvario: O Reino do Avesso</t>
        </is>
      </c>
    </row>
    <row r="3" ht="15.6" customHeight="1" s="34">
      <c r="A3" s="28" t="inlineStr">
        <is>
          <t>A história</t>
        </is>
      </c>
      <c r="B3" s="29" t="n"/>
    </row>
    <row r="4" ht="60" customHeight="1" s="34">
      <c r="A4" s="30" t="inlineStr">
        <is>
          <t>O reino</t>
        </is>
      </c>
      <c r="B4" s="31" t="inlineStr">
        <is>
          <t>Desvario é um reino do outro lado da tinta, onde nada faz sentido, e é exatamente isso que o mantém vivo. Rios de chá correm morro acima, relógios andam para trás, flores fofocam sobre o futuro e portas aparecem onde bem entendem. A imaginação é a força que sustenta o mundo: quanto mais absurdo, mais colorido e mais vivo.</t>
        </is>
      </c>
    </row>
    <row r="5" ht="75" customHeight="1" s="34">
      <c r="A5" s="30" t="inlineStr">
        <is>
          <t>A ameaça</t>
        </is>
      </c>
      <c r="B5" s="31" t="inlineStr">
        <is>
          <t>O Arquiteto Cinzento surgiu das margens de um caderno esquecido. Ele odeia o absurdo e acredita que um mundo sem erros é um mundo perfeito. Com a Ordem Cinzenta, um exército de materiais de escritório vivos (réguas, esquadros, carimbos, borrachas, grampeadores), ele está "corrigindo" Desvario: endireita o que é torto, apaga as cores, carimba os sonhos como INDEFERIDO e transforma tudo numa planta arquitetônica sem vida.</t>
        </is>
      </c>
    </row>
    <row r="6" ht="45" customHeight="1" s="34">
      <c r="A6" s="30" t="inlineStr">
        <is>
          <t>O herói</t>
        </is>
      </c>
      <c r="B6" s="31" t="inlineStr">
        <is>
          <t>O Sonhador de Tinta é uma pessoa comum do nosso mundo que pisou numa poça de tinta e caiu do outro lado. Por onde passa, a tinta que escorre de suas mãos e da sua capa devolve as cores ao chão. Ele é a última esperança de Desvario.</t>
        </is>
      </c>
    </row>
    <row r="7" ht="45" customHeight="1" s="34">
      <c r="A7" s="30" t="inlineStr">
        <is>
          <t>O objetivo</t>
        </is>
      </c>
      <c r="B7" s="31" t="inlineStr">
        <is>
          <t>Reunir as Cartas de Devaneio, os habitantes e as magias do reino, e duelar contra a Ordem Cinzenta, libertando região por região até chegar à Cidadela Cinzenta e derrotar o Arquiteto. Cada duelo vencido devolve a cor a um pedaço do mundo.</t>
        </is>
      </c>
    </row>
    <row r="8" ht="15.6" customHeight="1" s="34">
      <c r="A8" s="28" t="inlineStr">
        <is>
          <t>As regiões</t>
        </is>
      </c>
      <c r="B8" s="29" t="n"/>
    </row>
    <row r="9" ht="30" customHeight="1" s="34">
      <c r="A9" s="30" t="inlineStr">
        <is>
          <t>Ponto de partida</t>
        </is>
      </c>
      <c r="B9" s="31" t="inlineStr">
        <is>
          <t>Não é uma região de Desvario: é a Poça de Tinta, numa rua comum do nosso mundo, que reflete um céu impossível e serve de passagem para o reino.</t>
        </is>
      </c>
    </row>
    <row r="10" ht="30" customHeight="1" s="34">
      <c r="A10" s="30" t="inlineStr">
        <is>
          <t>Bosque das Horas Tortas</t>
        </is>
      </c>
      <c r="B10" s="31" t="inlineStr">
        <is>
          <t>Floresta onde as árvores são relógios de pêndulo e as horas andam para qualquer lado. Luz dourada de fim de tarde. Bronze, âmbar e musgo. Criaturas do atributo TEMPO.</t>
        </is>
      </c>
    </row>
    <row r="11" ht="30" customHeight="1" s="34">
      <c r="A11" s="30" t="inlineStr">
        <is>
          <t>Mar de Chá Morno</t>
        </is>
      </c>
      <c r="B11" s="31" t="inlineStr">
        <is>
          <t>Um mar de chá quente com ilhas de pires, xícaras-barco e vapor perfumado. Âmbar, creme, porcelana e renda. Criaturas do atributo CHÁ.</t>
        </is>
      </c>
    </row>
    <row r="12" ht="30" customHeight="1" s="34">
      <c r="A12" s="30" t="inlineStr">
        <is>
          <t>Biblioteca de Portas</t>
        </is>
      </c>
      <c r="B12" s="31" t="inlineStr">
        <is>
          <t>Uma biblioteca infinita onde cada estante é uma porta e cada espelho mostra o avesso das coisas. Noite azul, prata e estrelas. Criaturas do atributo ESPELHO.</t>
        </is>
      </c>
    </row>
    <row r="13" ht="30" customHeight="1" s="34">
      <c r="A13" s="30" t="inlineStr">
        <is>
          <t>Jardim de Xadrez Vivo</t>
        </is>
      </c>
      <c r="B13" s="31" t="inlineStr">
        <is>
          <t>Jardim em formato de tabuleiro, com peças de xadrez que andam sozinhas, flores falantes e brinquedos que ganham vida. Verdes vivos e quadriculados. Criaturas dos atributos FOLHA e TINTA.</t>
        </is>
      </c>
    </row>
    <row r="14" ht="30" customHeight="1" s="34">
      <c r="A14" s="30" t="inlineStr">
        <is>
          <t>Cidadela Cinzenta</t>
        </is>
      </c>
      <c r="B14" s="31" t="inlineStr">
        <is>
          <t>A capital da Ordem Cinzenta: prédios idênticos numa grade perfeita, filas intermináveis, guichês e carimbos. Nenhuma cor. Criaturas do atributo CINZA.</t>
        </is>
      </c>
    </row>
    <row r="15" ht="15.6" customHeight="1" s="34">
      <c r="A15" s="28" t="inlineStr">
        <is>
          <t>Guia visual para as artes</t>
        </is>
      </c>
      <c r="B15" s="29" t="n"/>
    </row>
    <row r="16" ht="30" customHeight="1" s="34">
      <c r="A16" s="30" t="inlineStr">
        <is>
          <t>Estilo geral</t>
        </is>
      </c>
      <c r="B16" s="31" t="inlineStr">
        <is>
          <t>Ilustração de livro de contos vitoriano, em aquarela e nanquim, levemente surreal e caprichosa. Personagens expressivos, com formas curvas e orgânicas.</t>
        </is>
      </c>
    </row>
    <row r="17" ht="45" customHeight="1" s="34">
      <c r="A17" s="30" t="inlineStr">
        <is>
          <t>Regra de ouro</t>
        </is>
      </c>
      <c r="B17" s="31" t="inlineStr">
        <is>
          <t>O lado de Desvario é COLORIDO, CURVO e VIVO. O lado da Ordem Cinzenta é CINZA, RETO e RÍGIDO. Nas cartas CINZA, a única cor permitida é a do que está sendo apagado ou carimbado (uma flor, um lápis de cor, o 'INDEFERIDO' vermelho).</t>
        </is>
      </c>
    </row>
    <row r="18" ht="45" customHeight="1" s="34">
      <c r="A18" s="30" t="inlineStr">
        <is>
          <t>Formato</t>
        </is>
      </c>
      <c r="B18" s="31" t="inlineStr">
        <is>
          <t>Quadrado 1:1, mínimo de 600×600 px, sem texto e sem moldura (a moldura da carta é feita pelo site). Arquivo .webp ou .jpg com menos de 200 KB. Nome do arquivo conforme a coluna 'Nome do arquivo da arte' da aba Cartas.</t>
        </is>
      </c>
    </row>
    <row r="19" ht="30" customHeight="1" s="34">
      <c r="A19" s="30" t="inlineStr">
        <is>
          <t>Composição</t>
        </is>
      </c>
      <c r="B19" s="31" t="inlineStr">
        <is>
          <t>Personagem centralizado e legível mesmo em tamanho pequeno (a carta aparece como miniatura no catálogo). Evite detalhes importantes nas bordas.</t>
        </is>
      </c>
    </row>
    <row r="20" ht="45" customHeight="1" s="34">
      <c r="A20" s="30" t="inlineStr">
        <is>
          <t>Prompt base (IA)</t>
        </is>
      </c>
      <c r="B20" s="31" t="inlineStr">
        <is>
          <t>Victorian storybook illustration, watercolor and ink, whimsical surreal wonderland, saturated colors, square composition, centered subject, no text, no border — [cole aqui a 'Ideia de arte' traduzida]</t>
        </is>
      </c>
    </row>
    <row r="21" ht="45" customHeight="1" s="34">
      <c r="A21" s="30" t="inlineStr">
        <is>
          <t>Prompt base CINZA</t>
        </is>
      </c>
      <c r="B21" s="31" t="inlineStr">
        <is>
          <t>Victorian storybook illustration, ink and graphite, monochrome grey palette, rigid straight lines, bureaucratic office supplies come to life, square composition, centered subject, no text, no border — [ideia de arte]</t>
        </is>
      </c>
    </row>
    <row r="22" ht="30" customHeight="1" s="34">
      <c r="A22" s="30" t="inlineStr">
        <is>
          <t>Créditos</t>
        </is>
      </c>
      <c r="B22" s="31" t="inlineStr">
        <is>
          <t>Anote a ferramenta ou o artista de cada arte. O professor pede as fontes das imagens no README.</t>
        </is>
      </c>
    </row>
    <row r="23" ht="15.6" customHeight="1" s="34">
      <c r="A23" s="28" t="inlineStr">
        <is>
          <t>Atributos (elementos)</t>
        </is>
      </c>
      <c r="B23" s="29" t="n"/>
    </row>
    <row r="24" ht="18" customHeight="1" s="34">
      <c r="A24" s="30" t="inlineStr">
        <is>
          <t>CHÁ</t>
        </is>
      </c>
      <c r="B24" s="31" t="inlineStr">
        <is>
          <t>Xícara · âmbar #C8782A · calor, conforto, adivinhação</t>
        </is>
      </c>
    </row>
    <row r="25" ht="18" customHeight="1" s="34">
      <c r="A25" s="30" t="inlineStr">
        <is>
          <t>TEMPO</t>
        </is>
      </c>
      <c r="B25" s="31" t="inlineStr">
        <is>
          <t>Ampulheta · bronze #B08D57 · relógios, atrasos, horas tortas</t>
        </is>
      </c>
    </row>
    <row r="26" ht="18" customHeight="1" s="34">
      <c r="A26" s="30" t="inlineStr">
        <is>
          <t>TINTA</t>
        </is>
      </c>
      <c r="B26" s="31" t="inlineStr">
        <is>
          <t>Gota · roxo #6B3FA0 · sonhos, cores, imaginação</t>
        </is>
      </c>
    </row>
    <row r="27" ht="18" customHeight="1" s="34">
      <c r="A27" s="30" t="inlineStr">
        <is>
          <t>ESPELHO</t>
        </is>
      </c>
      <c r="B27" s="31" t="inlineStr">
        <is>
          <t>Losango refletido · prata-azulado #7FB7C9 · reflexos, inversões, ilusão</t>
        </is>
      </c>
    </row>
    <row r="28" ht="18" customHeight="1" s="34">
      <c r="A28" s="30" t="inlineStr">
        <is>
          <t>FOLHA</t>
        </is>
      </c>
      <c r="B28" s="31" t="inlineStr">
        <is>
          <t>Folha · verde #4E8F4A · jardins, plantas, xadrez vivo</t>
        </is>
      </c>
    </row>
    <row r="29" ht="18" customHeight="1" s="34">
      <c r="A29" s="30" t="inlineStr">
        <is>
          <t>CINZA</t>
        </is>
      </c>
      <c r="B29" s="31" t="inlineStr">
        <is>
          <t>Esquadro · cinza #7A7A7A · a Ordem Cinzenta, regras, carimbos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4"/>
  <cols>
    <col width="24" customWidth="1" style="34" min="1" max="1"/>
    <col width="110" customWidth="1" style="34" min="2" max="2"/>
  </cols>
  <sheetData>
    <row r="1" ht="21" customHeight="1" s="34">
      <c r="A1" s="27" t="inlineStr">
        <is>
          <t>Regras: Yu-Gi-Oh! clássico (sem Fusão e sem Ritual)</t>
        </is>
      </c>
    </row>
    <row r="2"/>
    <row r="3" ht="30" customHeight="1" s="34">
      <c r="A3" s="4" t="inlineStr">
        <is>
          <t>Objetivo</t>
        </is>
      </c>
      <c r="B3" s="6" t="inlineStr">
        <is>
          <t>Reduzir os Pontos de Lucidez (PL) do oponente de 8000 para 0. Também vence quem fizer o oponente precisar comprar com o Deck vazio.</t>
        </is>
      </c>
    </row>
    <row r="4" ht="18" customHeight="1" s="34">
      <c r="A4" s="4" t="inlineStr">
        <is>
          <t>Deck</t>
        </is>
      </c>
      <c r="B4" s="6" t="inlineStr">
        <is>
          <t>De 40 a 60 cartas, com no máximo 3 cópias de cada. Mão inicial de 5 cartas.</t>
        </is>
      </c>
    </row>
    <row r="5" ht="30" customHeight="1" s="34">
      <c r="A5" s="4" t="inlineStr">
        <is>
          <t>Fases do turno</t>
        </is>
      </c>
      <c r="B5" s="6" t="inlineStr">
        <is>
          <t>1) Compra (inclusive no 1º turno do duelo) · 2) Espera · 3) Principal 1 · 4) Batalha (ninguém ataca no 1º turno do duelo) · 5) Principal 2 · 6) Final (limite de 6 cartas na mão).</t>
        </is>
      </c>
    </row>
    <row r="6" ht="30" customHeight="1" s="34">
      <c r="A6" s="4" t="inlineStr">
        <is>
          <t>Invocação-Normal</t>
        </is>
      </c>
      <c r="B6" s="6" t="inlineStr">
        <is>
          <t>1 por turno (ou Baixar 1 monstro com a face para baixo, em Defesa). Nível 1–4: sem Tributo. Nível 5–6: 1 Tributo. Nível 7+: 2 Tributos.</t>
        </is>
      </c>
    </row>
    <row r="7" ht="18" customHeight="1" s="34">
      <c r="A7" s="4" t="inlineStr">
        <is>
          <t>Invocação-Flip</t>
        </is>
      </c>
      <c r="B7" s="6" t="inlineStr">
        <is>
          <t>Virar um monstro com a face para baixo para Posição de Ataque. Ativa os efeitos FLIP.</t>
        </is>
      </c>
    </row>
    <row r="8" ht="18" customHeight="1" s="34">
      <c r="A8" s="4" t="inlineStr">
        <is>
          <t>Posição</t>
        </is>
      </c>
      <c r="B8" s="6" t="inlineStr">
        <is>
          <t>Cada monstro pode mudar de posição 1 vez por turno, mas não no turno em que foi invocado.</t>
        </is>
      </c>
    </row>
    <row r="9" ht="30" customHeight="1" s="34">
      <c r="A9" s="4" t="inlineStr">
        <is>
          <t>Batalha ATK × ATK</t>
        </is>
      </c>
      <c r="B9" s="6" t="inlineStr">
        <is>
          <t>O monstro de menor ATK é destruído e seu dono perde a diferença. Empate: os dois são destruídos.</t>
        </is>
      </c>
    </row>
    <row r="10" ht="30" customHeight="1" s="34">
      <c r="A10" s="4" t="inlineStr">
        <is>
          <t>Batalha ATK × DEF</t>
        </is>
      </c>
      <c r="B10" s="6" t="inlineStr">
        <is>
          <t>Se ATK &gt; DEF, o defensor é destruído, sem dano. Se ATK &lt; DEF, nada é destruído e o atacante perde a diferença. Empate: nada acontece.</t>
        </is>
      </c>
    </row>
    <row r="11" ht="18" customHeight="1" s="34">
      <c r="A11" s="4" t="inlineStr">
        <is>
          <t>Ataque direto</t>
        </is>
      </c>
      <c r="B11" s="6" t="inlineStr">
        <is>
          <t>Se o oponente não tiver monstros, ele perde PL igual ao ATK do atacante.</t>
        </is>
      </c>
    </row>
    <row r="12" ht="18" customHeight="1" s="34">
      <c r="A12" s="4" t="inlineStr">
        <is>
          <t>Campo</t>
        </is>
      </c>
      <c r="B12" s="6" t="inlineStr">
        <is>
          <t>5 zonas de Monstro, 5 zonas de Magia/Armadilha, 1 zona de Campo, Deck e Cemitério.</t>
        </is>
      </c>
    </row>
    <row r="13" ht="45" customHeight="1" s="34">
      <c r="A13" s="4" t="inlineStr">
        <is>
          <t>Magias</t>
        </is>
      </c>
      <c r="B13" s="6" t="inlineStr">
        <is>
          <t>Ativadas no seu turno. Normal (usa e descarta) · Contínua (fica no campo) · Equipamento (presa a um monstro) · Campo (muda o terreno; só 1).</t>
        </is>
      </c>
    </row>
    <row r="14" ht="30" customHeight="1" s="34">
      <c r="A14" s="4" t="inlineStr">
        <is>
          <t>Armadilhas</t>
        </is>
      </c>
      <c r="B14" s="6" t="inlineStr">
        <is>
          <t>Precisam ser baixadas e só podem ser ativadas a partir do turno seguinte, inclusive no turno do oponente. Normal · Contínua · Resposta (anula outras cartas).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2026-09-27T19:49:20Z</dcterms:created>
  <dcterms:modified xsi:type="dcterms:W3CDTF">2026-09-27T23:43:30Z</dcterms:modified>
  <cp:lastModifiedBy>Carlos Eduardo</cp:lastModifiedBy>
</cp:coreProperties>
</file>